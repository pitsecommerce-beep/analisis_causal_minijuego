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4" formatCode="_(&quot;MX$&quot;* #,##0.00_);_(&quot;MX$&quot;* \(#,##0.00\);_(&quot;MX$&quot;* &quot;-&quot;??_);_(@_)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NumberFormat="1"/>
    <xf numFmtId="2" fontId="0" fillId="0" borderId="0" xfId="0" applyNumberFormat="1"/>
    <xf numFmtId="16" fontId="0" fillId="0" borderId="0" xfId="0" applyNumberFormat="1"/>
    <xf numFmtId="1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ë§ì ê³ ë"/>
        <a:font script="Hans" typeface="DengXian Light"/>
        <a:font script="Hant" typeface="æ°ç´°æé«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ë§ì ê³ ë"/>
        <a:font script="Hans" typeface="DengXian"/>
        <a:font script="Hant" typeface="æ°ç´°æé«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A1:AA104"/>
  <sheetViews>
    <sheetView workbookViewId="0" rightToLeft="0"/>
  </sheetViews>
  <cols>
    <col min="1" max="1" customWidth="1" width="10.33203125"/>
    <col min="2" max="2" customWidth="1" width="10.5"/>
    <col min="3" max="3" customWidth="1" width="4.1640625"/>
    <col min="4" max="4" customWidth="1" width="8"/>
    <col min="5" max="5" customWidth="1" width="8.5"/>
    <col min="6" max="6" customWidth="1" width="13.1640625"/>
    <col min="7" max="7" customWidth="1" width="8.1640625"/>
    <col min="8" max="8" customWidth="1" width="8.83203125"/>
    <col min="9" max="9" customWidth="1" width="7"/>
    <col min="10" max="10" customWidth="1" width="8"/>
    <col min="11" max="11" customWidth="1" width="10.6640625"/>
    <col min="12" max="12" customWidth="1" width="10.33203125"/>
    <col min="13" max="13" customWidth="1" width="8.33203125"/>
    <col min="16" max="16" customWidth="1" width="10.1640625"/>
    <col min="17" max="17" customWidth="1" width="8.83203125"/>
    <col min="18" max="18" customWidth="1" width="10.5"/>
    <col min="19" max="19" customWidth="1" width="8.6640625"/>
    <col min="20" max="20" customWidth="1" width="10.1640625"/>
    <col min="21" max="21" customWidth="1" width="10.6640625"/>
    <col min="22" max="22" customWidth="1" width="10"/>
    <col min="23" max="23" customWidth="1" width="10.6640625"/>
    <col min="24" max="24" customWidth="1" width="10"/>
    <col min="25" max="25" customWidth="1" width="18.83203125"/>
    <col min="26" max="26" customWidth="1" width="15.1640625"/>
    <col min="27" max="27" customWidth="1" width="116.1640625"/>
  </cols>
  <sheetData>
    <row r="1" ht="64" customHeight="1">
      <c r="A1" t="str">
        <v># Solicitud</v>
      </c>
      <c r="B1" t="str">
        <v># Cliente</v>
      </c>
      <c r="C1" t="str">
        <v>Edad</v>
      </c>
      <c r="D1" t="str">
        <v>Edo. Civil</v>
      </c>
      <c r="E1" t="str">
        <v>Genero</v>
      </c>
      <c r="F1" t="str">
        <v>Estado</v>
      </c>
      <c r="G1" t="str">
        <v># Sucursal</v>
      </c>
      <c r="H1" t="str">
        <v>Años como cliente</v>
      </c>
      <c r="I1" t="str">
        <v>Score Buró crédito</v>
      </c>
      <c r="J1" t="str">
        <v>Score ETFBank</v>
      </c>
      <c r="K1" t="str">
        <v>Fecha de primer captura</v>
      </c>
      <c r="L1" t="str">
        <v>Fecha última captura</v>
      </c>
      <c r="M1" t="str">
        <v># intentos</v>
      </c>
      <c r="N1" t="str">
        <v>Tiempo transcurrido</v>
      </c>
      <c r="O1" t="str">
        <v>Tiempo CrOP y entrega</v>
      </c>
      <c r="P1" t="str">
        <v>Fecha envio documentos</v>
      </c>
      <c r="Q1" t="str">
        <v>Tiempo del ejecutivo</v>
      </c>
      <c r="R1" t="str">
        <v>Fecha recepción de documentos CrOP</v>
      </c>
      <c r="S1" t="str">
        <v>Resultado Buró crédito</v>
      </c>
      <c r="T1" t="str">
        <v xml:space="preserve">Fecha de consulta a Buró </v>
      </c>
      <c r="U1" t="str">
        <v>Resultado score ETFBank</v>
      </c>
      <c r="V1" t="str">
        <v>Fecha consulta score ETFB</v>
      </c>
      <c r="W1" t="str">
        <v>Fecha envío plástico</v>
      </c>
      <c r="X1" t="str">
        <v>Tiempo CrOP</v>
      </c>
      <c r="Y1" t="str">
        <v>último status</v>
      </c>
      <c r="Z1" s="1" t="str">
        <v>Monto de línea otorgada</v>
      </c>
      <c r="AA1" t="str">
        <v>Comentarios</v>
      </c>
    </row>
    <row r="2">
      <c r="A2">
        <v>25</v>
      </c>
      <c r="B2">
        <v>112786</v>
      </c>
      <c r="C2">
        <v>61</v>
      </c>
      <c r="D2" t="str">
        <v>married</v>
      </c>
      <c r="E2" t="str">
        <v>male</v>
      </c>
      <c r="F2" t="str">
        <v>Tamaulipas</v>
      </c>
      <c r="G2">
        <v>35</v>
      </c>
      <c r="H2">
        <v>9</v>
      </c>
      <c r="I2">
        <v>77</v>
      </c>
      <c r="J2">
        <v>29</v>
      </c>
      <c r="K2" s="2">
        <v>42248</v>
      </c>
      <c r="L2" s="2">
        <v>42282</v>
      </c>
      <c r="M2">
        <v>3</v>
      </c>
      <c r="N2" s="3">
        <f>+L2-K2</f>
        <v>34</v>
      </c>
      <c r="P2" s="2">
        <v>42282</v>
      </c>
      <c r="Q2" s="3">
        <f>+P2-K2</f>
        <v>34</v>
      </c>
      <c r="R2" s="2">
        <v>42284</v>
      </c>
      <c r="S2" t="str">
        <f>IF(I2&gt;70, "Accepted", "Rejected")</f>
        <v>Accepted</v>
      </c>
      <c r="T2" s="2">
        <v>42286</v>
      </c>
      <c r="U2" t="str">
        <f>IF(S2="Accepted",IF(J2&gt;20, "Accepted", "Rejected"), "Rejected")</f>
        <v>Accepted</v>
      </c>
      <c r="V2" s="2">
        <v>42287</v>
      </c>
      <c r="W2" s="2">
        <v>42290</v>
      </c>
      <c r="X2" s="3">
        <f>+W2-R2</f>
        <v>6</v>
      </c>
      <c r="Y2" t="str">
        <v>Tarjeta enviada</v>
      </c>
      <c r="Z2" s="4">
        <v>26700</v>
      </c>
      <c r="AA2" t="str">
        <v>3 sep error de captura. 11 sep error de captura. 10 oct se autoriza crédito por 26700.</v>
      </c>
    </row>
    <row r="3">
      <c r="A3">
        <v>30</v>
      </c>
      <c r="B3">
        <v>113077</v>
      </c>
      <c r="C3">
        <v>46</v>
      </c>
      <c r="D3" t="str">
        <v>married</v>
      </c>
      <c r="E3" t="str">
        <v>female</v>
      </c>
      <c r="F3" t="str">
        <v>Puebla</v>
      </c>
      <c r="G3">
        <v>43</v>
      </c>
      <c r="H3">
        <v>8</v>
      </c>
      <c r="I3">
        <v>70</v>
      </c>
      <c r="J3">
        <v>19</v>
      </c>
      <c r="K3" s="2">
        <v>42234</v>
      </c>
      <c r="L3" s="2">
        <v>42241</v>
      </c>
      <c r="M3">
        <v>2</v>
      </c>
      <c r="N3" s="3">
        <f>+L3-K3</f>
        <v>7</v>
      </c>
      <c r="P3" s="2">
        <v>42245</v>
      </c>
      <c r="Q3" s="3">
        <f>+P3-K3</f>
        <v>11</v>
      </c>
      <c r="R3" s="2">
        <v>42249</v>
      </c>
      <c r="S3" t="str">
        <v>Accepted</v>
      </c>
      <c r="T3" s="2">
        <v>42250</v>
      </c>
      <c r="U3" t="str">
        <v>Rejected</v>
      </c>
      <c r="V3" s="2">
        <v>42250</v>
      </c>
      <c r="Y3" t="str">
        <v>Rechazo Score</v>
      </c>
      <c r="AA3" t="str">
        <v>21 ago error de captura. 3 sep Rechazo Score.</v>
      </c>
    </row>
    <row r="4">
      <c r="A4">
        <v>15</v>
      </c>
      <c r="B4">
        <v>123675</v>
      </c>
      <c r="C4">
        <v>67</v>
      </c>
      <c r="D4" t="str">
        <v>married</v>
      </c>
      <c r="E4" t="str">
        <v>female</v>
      </c>
      <c r="F4" t="str">
        <v>Yucatán</v>
      </c>
      <c r="G4">
        <v>57</v>
      </c>
      <c r="H4">
        <v>7</v>
      </c>
      <c r="I4">
        <v>90</v>
      </c>
      <c r="J4">
        <v>28</v>
      </c>
      <c r="K4" s="2">
        <v>42219</v>
      </c>
      <c r="L4" s="2">
        <v>42247</v>
      </c>
      <c r="M4">
        <v>3</v>
      </c>
      <c r="N4" s="3">
        <f>+L4-K4</f>
        <v>28</v>
      </c>
      <c r="P4" s="2">
        <v>42252</v>
      </c>
      <c r="Q4" s="3">
        <f>+P4-K4</f>
        <v>33</v>
      </c>
      <c r="R4" s="2">
        <v>42256</v>
      </c>
      <c r="S4" t="str">
        <f>IF(I4&gt;70, "Accepted", "Rejected")</f>
        <v>Accepted</v>
      </c>
      <c r="T4" s="2">
        <v>42258</v>
      </c>
      <c r="U4" t="str">
        <f>IF(S4="Accepted",IF(J4&gt;20, "Accepted", "Rejected"), "Rejected")</f>
        <v>Accepted</v>
      </c>
      <c r="V4" s="2">
        <v>42258</v>
      </c>
      <c r="W4" s="2">
        <v>42264</v>
      </c>
      <c r="X4" s="3">
        <f>+W4-R4</f>
        <v>8</v>
      </c>
      <c r="Y4" t="str">
        <v>Tarjeta enviada</v>
      </c>
      <c r="Z4" s="4">
        <v>56000</v>
      </c>
      <c r="AA4" t="str">
        <v>5 ago documentación ilegible. 18 ago documentación incompleta. 11 sep de autoriza el crédito por 56000.</v>
      </c>
    </row>
    <row r="5">
      <c r="A5">
        <v>96</v>
      </c>
      <c r="B5">
        <v>126893</v>
      </c>
      <c r="C5">
        <v>20</v>
      </c>
      <c r="D5" t="str">
        <v>single</v>
      </c>
      <c r="E5" t="str">
        <v>female</v>
      </c>
      <c r="F5" t="str">
        <v>Edo Mex</v>
      </c>
      <c r="G5">
        <v>58</v>
      </c>
      <c r="H5">
        <v>6</v>
      </c>
      <c r="I5">
        <v>84</v>
      </c>
      <c r="J5">
        <v>25</v>
      </c>
      <c r="K5" s="2">
        <v>42283</v>
      </c>
      <c r="L5" s="2">
        <v>42283</v>
      </c>
      <c r="M5">
        <v>1</v>
      </c>
      <c r="N5" s="3">
        <f>+L5-K5</f>
        <v>0</v>
      </c>
      <c r="P5" s="2">
        <v>42284</v>
      </c>
      <c r="Q5" s="3">
        <f>+P5-K5</f>
        <v>1</v>
      </c>
      <c r="R5" s="2">
        <v>42286</v>
      </c>
      <c r="S5" t="str">
        <f>IF(I5&gt;70, "Accepted", "Rejected")</f>
        <v>Accepted</v>
      </c>
      <c r="T5" s="2">
        <v>42288</v>
      </c>
      <c r="U5" t="str">
        <f>IF(S5="Accepted",IF(J5&gt;20, "Accepted", "Rejected"), "Rejected")</f>
        <v>Accepted</v>
      </c>
      <c r="V5" s="2">
        <v>42288</v>
      </c>
      <c r="W5" s="2">
        <v>42295</v>
      </c>
      <c r="X5" s="3">
        <f>+W5-R5</f>
        <v>9</v>
      </c>
      <c r="Y5" t="str">
        <v>Tarjeta enviada</v>
      </c>
      <c r="Z5" s="4">
        <v>39100</v>
      </c>
      <c r="AA5" t="str">
        <v>11 oct se autoriza el crédito por 39,100</v>
      </c>
    </row>
    <row r="6">
      <c r="A6">
        <v>4</v>
      </c>
      <c r="B6">
        <v>171618</v>
      </c>
      <c r="C6">
        <v>56</v>
      </c>
      <c r="D6" t="str">
        <v>married</v>
      </c>
      <c r="E6" t="str">
        <v>male</v>
      </c>
      <c r="F6" t="str">
        <v>D.F.</v>
      </c>
      <c r="G6">
        <v>125</v>
      </c>
      <c r="H6">
        <v>12</v>
      </c>
      <c r="I6">
        <v>96</v>
      </c>
      <c r="J6">
        <v>25</v>
      </c>
      <c r="K6" s="2">
        <v>42250</v>
      </c>
      <c r="L6" s="2">
        <v>42281</v>
      </c>
      <c r="M6">
        <v>2</v>
      </c>
      <c r="N6" s="3">
        <f>+L6-K6</f>
        <v>31</v>
      </c>
      <c r="P6" s="2">
        <v>42283</v>
      </c>
      <c r="Q6" s="3">
        <f>+P6-K6</f>
        <v>33</v>
      </c>
      <c r="R6" s="2">
        <v>42285</v>
      </c>
      <c r="S6" t="str">
        <f>IF(I6&gt;70, "Accepted", "Rejected")</f>
        <v>Accepted</v>
      </c>
      <c r="T6" s="2">
        <v>42289</v>
      </c>
      <c r="U6" t="str">
        <f>IF(S6="Accepted",IF(J6&gt;20, "Accepted", "Rejected"), "Rejected")</f>
        <v>Accepted</v>
      </c>
      <c r="V6" s="2">
        <v>42290</v>
      </c>
      <c r="W6" s="2">
        <v>42294</v>
      </c>
      <c r="X6" s="3">
        <f>+W6-R6</f>
        <v>9</v>
      </c>
      <c r="Y6" t="str">
        <v>Tarjeta enviada</v>
      </c>
      <c r="Z6" s="4">
        <v>123000</v>
      </c>
      <c r="AA6" t="str">
        <v>10 sep documentación ilegible. 13 oct se autoriza el crédito por 123,000</v>
      </c>
    </row>
    <row r="7">
      <c r="A7">
        <v>23</v>
      </c>
      <c r="B7">
        <v>179532</v>
      </c>
      <c r="C7">
        <v>22</v>
      </c>
      <c r="D7" t="str">
        <v>single</v>
      </c>
      <c r="E7" t="str">
        <v>female</v>
      </c>
      <c r="F7" t="str">
        <v>Jalisco</v>
      </c>
      <c r="G7">
        <v>123</v>
      </c>
      <c r="H7">
        <v>2</v>
      </c>
      <c r="I7">
        <v>76</v>
      </c>
      <c r="J7">
        <v>26</v>
      </c>
      <c r="K7" s="2">
        <v>42268</v>
      </c>
      <c r="L7" s="2">
        <v>42284</v>
      </c>
      <c r="M7">
        <v>2</v>
      </c>
      <c r="N7" s="3">
        <f>+L7-K7</f>
        <v>16</v>
      </c>
      <c r="P7" s="2">
        <v>42286</v>
      </c>
      <c r="Q7" s="3">
        <f>+P7-K7</f>
        <v>18</v>
      </c>
      <c r="R7" s="2">
        <v>42286</v>
      </c>
      <c r="S7" t="str">
        <f>IF(I7&gt;70, "Accepted", "Rejected")</f>
        <v>Accepted</v>
      </c>
      <c r="T7" s="2">
        <v>42288</v>
      </c>
      <c r="U7" t="str">
        <f>IF(S7="Accepted",IF(J7&gt;20, "Accepted", "Rejected"), "Rejected")</f>
        <v>Accepted</v>
      </c>
      <c r="V7" s="2">
        <v>42289</v>
      </c>
      <c r="W7" s="2">
        <v>42292</v>
      </c>
      <c r="X7" s="3">
        <f>+W7-R7</f>
        <v>6</v>
      </c>
      <c r="Y7" t="str">
        <v>Tarjeta enviada</v>
      </c>
      <c r="Z7" s="4">
        <v>35500</v>
      </c>
      <c r="AA7" t="str">
        <v>25 sep documentación incompleta. 12 oct se autoriza crédito por 35500.</v>
      </c>
    </row>
    <row r="8">
      <c r="A8">
        <v>78</v>
      </c>
      <c r="B8">
        <v>190955</v>
      </c>
      <c r="C8">
        <v>18</v>
      </c>
      <c r="D8" t="str">
        <v>married</v>
      </c>
      <c r="E8" t="str">
        <v>male</v>
      </c>
      <c r="F8" t="str">
        <v>Jalisco</v>
      </c>
      <c r="G8">
        <v>123</v>
      </c>
      <c r="H8">
        <v>1</v>
      </c>
      <c r="I8">
        <v>83</v>
      </c>
      <c r="J8">
        <v>22</v>
      </c>
      <c r="K8" s="2">
        <v>42274</v>
      </c>
      <c r="L8" s="2">
        <v>42292</v>
      </c>
      <c r="M8">
        <v>2</v>
      </c>
      <c r="N8" s="3">
        <f>+L8-K8</f>
        <v>18</v>
      </c>
      <c r="P8" s="2">
        <v>42295</v>
      </c>
      <c r="Q8" s="3">
        <f>+P8-K8</f>
        <v>21</v>
      </c>
      <c r="R8" s="2">
        <v>42299</v>
      </c>
      <c r="S8" t="str">
        <f>IF(I8&gt;70, "Accepted", "Rejected")</f>
        <v>Accepted</v>
      </c>
      <c r="T8" s="2">
        <v>42301</v>
      </c>
      <c r="U8" t="str">
        <f>IF(S8="Accepted",IF(J8&gt;20, "Accepted", "Rejected"), "Rejected")</f>
        <v>Accepted</v>
      </c>
      <c r="V8" s="2">
        <v>42301</v>
      </c>
      <c r="Y8" t="str">
        <v>Aceptado Score</v>
      </c>
      <c r="AA8" t="str">
        <v>27 oct error de captura. 24 oct se autoriza crédito por 18,000.</v>
      </c>
    </row>
    <row r="9">
      <c r="A9">
        <v>84</v>
      </c>
      <c r="B9">
        <v>203304</v>
      </c>
      <c r="C9">
        <v>47</v>
      </c>
      <c r="D9" t="str">
        <v>married</v>
      </c>
      <c r="E9" t="str">
        <v>male</v>
      </c>
      <c r="F9" t="str">
        <v>Jalisco</v>
      </c>
      <c r="G9">
        <v>123</v>
      </c>
      <c r="H9">
        <v>7</v>
      </c>
      <c r="I9">
        <v>86</v>
      </c>
      <c r="J9">
        <v>21</v>
      </c>
      <c r="K9" s="2">
        <v>42246</v>
      </c>
      <c r="L9" s="2">
        <v>42272</v>
      </c>
      <c r="M9">
        <v>2</v>
      </c>
      <c r="N9" s="3">
        <f>+L9-K9</f>
        <v>26</v>
      </c>
      <c r="P9" s="2">
        <v>42273</v>
      </c>
      <c r="Q9" s="3">
        <f>+P9-K9</f>
        <v>27</v>
      </c>
      <c r="R9" s="2">
        <v>42276</v>
      </c>
      <c r="S9" t="str">
        <f>IF(I9&gt;70, "Accepted", "Rejected")</f>
        <v>Accepted</v>
      </c>
      <c r="T9" s="2">
        <v>42277</v>
      </c>
      <c r="U9" t="str">
        <f>IF(S9="Accepted",IF(J9&gt;20, "Accepted", "Rejected"), "Rejected")</f>
        <v>Accepted</v>
      </c>
      <c r="V9" s="2">
        <v>42277</v>
      </c>
      <c r="W9" s="2">
        <v>42282</v>
      </c>
      <c r="X9" s="3">
        <f>+W9-R9</f>
        <v>6</v>
      </c>
      <c r="Y9" t="str">
        <v>Tarjeta enviada</v>
      </c>
      <c r="Z9" s="4">
        <v>34000</v>
      </c>
      <c r="AA9" t="str">
        <v>1 sep documentación incompleta. 05 oct se autoriza el crédito por 34,000</v>
      </c>
    </row>
    <row r="10">
      <c r="A10">
        <v>32</v>
      </c>
      <c r="B10">
        <v>212147</v>
      </c>
      <c r="C10">
        <v>47</v>
      </c>
      <c r="D10" t="str">
        <v>married</v>
      </c>
      <c r="E10" t="str">
        <v>male</v>
      </c>
      <c r="F10" t="str">
        <v>Jalisco</v>
      </c>
      <c r="G10">
        <v>123</v>
      </c>
      <c r="H10">
        <v>9</v>
      </c>
      <c r="I10">
        <v>64</v>
      </c>
      <c r="J10" t="str">
        <v>NA</v>
      </c>
      <c r="K10" s="2">
        <v>42266</v>
      </c>
      <c r="L10" s="2">
        <v>42266</v>
      </c>
      <c r="M10">
        <v>1</v>
      </c>
      <c r="N10" s="3">
        <f>+L10-K10</f>
        <v>0</v>
      </c>
      <c r="P10" s="2">
        <v>42272</v>
      </c>
      <c r="Q10" s="3">
        <f>+P10-K10</f>
        <v>6</v>
      </c>
      <c r="R10" s="2">
        <v>42277</v>
      </c>
      <c r="S10" t="str">
        <f>IF(I10&gt;70, "Accepted", "Rejected")</f>
        <v>Rejected</v>
      </c>
      <c r="T10" s="2">
        <v>42279</v>
      </c>
      <c r="U10" t="str">
        <v>NA</v>
      </c>
      <c r="V10" t="str">
        <v>NA</v>
      </c>
      <c r="Y10" t="str">
        <v>Rechazo Buró</v>
      </c>
      <c r="AA10" t="str">
        <v>2 oct Rechazo Buró.</v>
      </c>
    </row>
    <row r="11">
      <c r="A11">
        <v>64</v>
      </c>
      <c r="B11">
        <v>214980</v>
      </c>
      <c r="C11">
        <v>31</v>
      </c>
      <c r="D11" t="str">
        <v>married</v>
      </c>
      <c r="E11" t="str">
        <v>female</v>
      </c>
      <c r="F11" t="str">
        <v>Sinaloa</v>
      </c>
      <c r="G11">
        <v>130</v>
      </c>
      <c r="H11">
        <v>6</v>
      </c>
      <c r="I11">
        <v>90</v>
      </c>
      <c r="J11">
        <v>28</v>
      </c>
      <c r="K11" s="2">
        <v>42229</v>
      </c>
      <c r="L11" s="2">
        <v>42247</v>
      </c>
      <c r="M11">
        <v>3</v>
      </c>
      <c r="N11" s="3">
        <f>+L11-K11</f>
        <v>18</v>
      </c>
      <c r="P11" s="2">
        <v>42250</v>
      </c>
      <c r="Q11" s="3">
        <f>+P11-K11</f>
        <v>21</v>
      </c>
      <c r="R11" s="2">
        <v>42258</v>
      </c>
      <c r="S11" t="str">
        <f>IF(I11&gt;70, "Accepted", "Rejected")</f>
        <v>Accepted</v>
      </c>
      <c r="T11" s="2">
        <v>42264</v>
      </c>
      <c r="U11" t="str">
        <f>IF(S11="Accepted",IF(J11&gt;20, "Accepted", "Rejected"), "Rejected")</f>
        <v>Accepted</v>
      </c>
      <c r="V11" s="2">
        <v>42264</v>
      </c>
      <c r="W11" s="2">
        <v>42269</v>
      </c>
      <c r="X11" s="3">
        <f>+W11-R11</f>
        <v>11</v>
      </c>
      <c r="Y11" t="str">
        <v>Tarjeta enviada</v>
      </c>
      <c r="Z11" s="4">
        <v>32000</v>
      </c>
      <c r="AA11" t="str">
        <v>15-ago error de captura. 27-ago documentación incompleta. 17-sep de autoriza el crédito por 32000.</v>
      </c>
    </row>
    <row r="12">
      <c r="A12">
        <v>20</v>
      </c>
      <c r="B12">
        <v>222098</v>
      </c>
      <c r="C12">
        <v>57</v>
      </c>
      <c r="D12" t="str">
        <v>married</v>
      </c>
      <c r="E12" t="str">
        <v>male</v>
      </c>
      <c r="F12" t="str">
        <v>Sinaloa</v>
      </c>
      <c r="G12">
        <v>130</v>
      </c>
      <c r="H12">
        <v>9</v>
      </c>
      <c r="I12">
        <v>43</v>
      </c>
      <c r="J12" t="str">
        <v>NA</v>
      </c>
      <c r="K12" s="2">
        <v>42243</v>
      </c>
      <c r="L12" s="2">
        <v>42259</v>
      </c>
      <c r="M12">
        <v>3</v>
      </c>
      <c r="N12" s="3">
        <f>+L12-K12</f>
        <v>16</v>
      </c>
      <c r="P12" s="2">
        <v>42261</v>
      </c>
      <c r="Q12" s="3">
        <f>+P12-K12</f>
        <v>18</v>
      </c>
      <c r="R12" s="2">
        <v>42266</v>
      </c>
      <c r="S12" t="str">
        <f>IF(I12&gt;70, "Accepted", "Rejected")</f>
        <v>Rejected</v>
      </c>
      <c r="T12" s="2">
        <v>42269</v>
      </c>
      <c r="U12" t="str">
        <v>NA</v>
      </c>
      <c r="V12" t="str">
        <v>NA</v>
      </c>
      <c r="Y12" t="str">
        <v>Rechazo Buró</v>
      </c>
      <c r="AA12" t="str">
        <v>3 sep documentación incompleta. 22 sep Rechazo Buró.</v>
      </c>
    </row>
    <row r="13">
      <c r="A13">
        <v>12</v>
      </c>
      <c r="B13">
        <v>222411</v>
      </c>
      <c r="C13">
        <v>59</v>
      </c>
      <c r="D13" t="str">
        <v>married</v>
      </c>
      <c r="E13" t="str">
        <v>male</v>
      </c>
      <c r="F13" t="str">
        <v xml:space="preserve">Colima </v>
      </c>
      <c r="G13">
        <v>131</v>
      </c>
      <c r="H13">
        <v>7</v>
      </c>
      <c r="I13">
        <v>93</v>
      </c>
      <c r="J13">
        <v>29</v>
      </c>
      <c r="K13" s="2">
        <v>42253</v>
      </c>
      <c r="L13" s="2">
        <v>42274</v>
      </c>
      <c r="M13">
        <v>2</v>
      </c>
      <c r="N13" s="3">
        <f>+L13-K13</f>
        <v>21</v>
      </c>
      <c r="P13" s="2">
        <v>42279</v>
      </c>
      <c r="Q13" s="3">
        <f>+P13-K13</f>
        <v>26</v>
      </c>
      <c r="R13" s="2">
        <v>42282</v>
      </c>
      <c r="S13" t="str">
        <f>IF(I13&gt;70, "Accepted", "Rejected")</f>
        <v>Accepted</v>
      </c>
      <c r="T13" s="2">
        <v>42282</v>
      </c>
      <c r="U13" t="str">
        <f>IF(S13="Accepted",IF(J13&gt;20, "Accepted", "Rejected"), "Rejected")</f>
        <v>Accepted</v>
      </c>
      <c r="V13" s="2">
        <v>42283</v>
      </c>
      <c r="W13" s="2">
        <v>42286</v>
      </c>
      <c r="X13" s="3">
        <f>+W13-R13</f>
        <v>4</v>
      </c>
      <c r="Y13" t="str">
        <v>Tarjeta enviada</v>
      </c>
      <c r="Z13" s="4">
        <v>38000</v>
      </c>
      <c r="AA13" t="str">
        <v>14 sep documentación incompleta. 6 oct se autoriza el crédito por 38000.</v>
      </c>
    </row>
    <row r="14">
      <c r="A14">
        <v>11</v>
      </c>
      <c r="B14">
        <v>224590</v>
      </c>
      <c r="C14">
        <v>62</v>
      </c>
      <c r="D14" t="str">
        <v>married</v>
      </c>
      <c r="E14" t="str">
        <v>female</v>
      </c>
      <c r="F14" t="str">
        <v xml:space="preserve">Hidalgo </v>
      </c>
      <c r="G14">
        <v>154</v>
      </c>
      <c r="H14">
        <v>16</v>
      </c>
      <c r="I14">
        <v>85</v>
      </c>
      <c r="J14">
        <v>22</v>
      </c>
      <c r="K14" s="2">
        <v>42193</v>
      </c>
      <c r="L14" s="2">
        <v>42260</v>
      </c>
      <c r="M14">
        <v>3</v>
      </c>
      <c r="N14" s="3">
        <f>+L14-K14</f>
        <v>67</v>
      </c>
      <c r="P14" s="2">
        <v>42262</v>
      </c>
      <c r="Q14" s="3">
        <f>+P14-K14</f>
        <v>69</v>
      </c>
      <c r="R14" s="2">
        <v>42267</v>
      </c>
      <c r="S14" t="str">
        <f>IF(I14&gt;70, "Accepted", "Rejected")</f>
        <v>Accepted</v>
      </c>
      <c r="T14" s="2">
        <v>42269</v>
      </c>
      <c r="U14" t="str">
        <f>IF(S14="Accepted",IF(J14&gt;20, "Accepted", "Rejected"), "Rejected")</f>
        <v>Accepted</v>
      </c>
      <c r="V14" s="2">
        <v>42269</v>
      </c>
      <c r="W14" s="2">
        <v>42272</v>
      </c>
      <c r="X14" s="3">
        <f>+W14-R14</f>
        <v>5</v>
      </c>
      <c r="Y14" t="str">
        <v>Tarjeta enviada</v>
      </c>
      <c r="Z14" s="4">
        <v>69000</v>
      </c>
      <c r="AA14" t="str">
        <v>12 jul error de captura. 26 jul documentación incompleta. 22 sep se autoriza el crédito por 69000.</v>
      </c>
    </row>
    <row r="15">
      <c r="A15">
        <v>66</v>
      </c>
      <c r="B15">
        <v>230148</v>
      </c>
      <c r="C15">
        <v>27</v>
      </c>
      <c r="D15" t="str">
        <v>single</v>
      </c>
      <c r="E15" t="str">
        <v>male</v>
      </c>
      <c r="F15" t="str">
        <v>Chihuahua</v>
      </c>
      <c r="G15">
        <v>159</v>
      </c>
      <c r="H15">
        <v>4</v>
      </c>
      <c r="I15">
        <v>48</v>
      </c>
      <c r="J15" t="str">
        <v>NA</v>
      </c>
      <c r="K15" s="2">
        <v>42266</v>
      </c>
      <c r="L15" s="2">
        <v>42277</v>
      </c>
      <c r="M15">
        <v>2</v>
      </c>
      <c r="N15" s="3">
        <f>+L15-K15</f>
        <v>11</v>
      </c>
      <c r="P15" s="2">
        <v>42286</v>
      </c>
      <c r="Q15" s="3">
        <f>+P15-K15</f>
        <v>20</v>
      </c>
      <c r="R15" s="2">
        <v>42299</v>
      </c>
      <c r="S15" t="str">
        <f>IF(I15&gt;70, "Accepted", "Rejected")</f>
        <v>Rejected</v>
      </c>
      <c r="T15" s="2">
        <v>42304</v>
      </c>
      <c r="U15" t="str">
        <v>NA</v>
      </c>
      <c r="V15" t="str">
        <v>NA</v>
      </c>
      <c r="Y15" t="str">
        <v>Rechazo Buró</v>
      </c>
      <c r="AA15" t="str">
        <v>22-sep error de captura. 27-oct Rechazo Buró</v>
      </c>
    </row>
    <row r="16">
      <c r="A16">
        <v>76</v>
      </c>
      <c r="B16">
        <v>230848</v>
      </c>
      <c r="C16">
        <v>50</v>
      </c>
      <c r="D16" t="str">
        <v>single</v>
      </c>
      <c r="E16" t="str">
        <v>female</v>
      </c>
      <c r="F16" t="str">
        <v>Guanajuato</v>
      </c>
      <c r="G16">
        <v>169</v>
      </c>
      <c r="H16">
        <v>19</v>
      </c>
      <c r="I16">
        <v>71</v>
      </c>
      <c r="J16">
        <v>19</v>
      </c>
      <c r="K16" s="2">
        <v>42246</v>
      </c>
      <c r="L16" s="2">
        <v>42297</v>
      </c>
      <c r="M16">
        <v>3</v>
      </c>
      <c r="N16" s="3">
        <f>+L16-K16</f>
        <v>51</v>
      </c>
      <c r="P16" s="2">
        <v>42303</v>
      </c>
      <c r="Q16" s="3">
        <f>+P16-K16</f>
        <v>57</v>
      </c>
      <c r="R16" s="2">
        <v>42305</v>
      </c>
      <c r="S16" t="str">
        <f>IF(I16&gt;70, "Accepted", "Rejected")</f>
        <v>Accepted</v>
      </c>
      <c r="T16" s="2">
        <v>42306</v>
      </c>
      <c r="U16" t="str">
        <f>IF(S16="Accepted",IF(J16&gt;20, "Accepted", "Rejected"), "Rejected")</f>
        <v>Rejected</v>
      </c>
      <c r="V16" s="2">
        <v>42306</v>
      </c>
      <c r="Y16" t="str">
        <v>Rechazo Score</v>
      </c>
      <c r="AA16" t="str">
        <v>2 sep error de catura. 14 sep documentación incompleta. 29 oct Rechazo Score</v>
      </c>
    </row>
    <row r="17">
      <c r="A17">
        <v>9</v>
      </c>
      <c r="B17">
        <v>230971</v>
      </c>
      <c r="C17">
        <v>33</v>
      </c>
      <c r="D17" t="str">
        <v>married</v>
      </c>
      <c r="E17" t="str">
        <v>male</v>
      </c>
      <c r="F17" t="str">
        <v>Guanajuato</v>
      </c>
      <c r="G17">
        <v>169</v>
      </c>
      <c r="H17">
        <v>8</v>
      </c>
      <c r="I17">
        <v>88</v>
      </c>
      <c r="J17">
        <v>24</v>
      </c>
      <c r="K17" s="2">
        <v>42219</v>
      </c>
      <c r="L17" s="2">
        <v>42243</v>
      </c>
      <c r="M17">
        <v>2</v>
      </c>
      <c r="N17" s="3">
        <f>+L17-K17</f>
        <v>24</v>
      </c>
      <c r="P17" s="2">
        <v>42245</v>
      </c>
      <c r="Q17" s="3">
        <f>+P17-K17</f>
        <v>26</v>
      </c>
      <c r="R17" s="2">
        <v>42248</v>
      </c>
      <c r="S17" t="str">
        <f>IF(I17&gt;70, "Accepted", "Rejected")</f>
        <v>Accepted</v>
      </c>
      <c r="T17" s="2">
        <v>42253</v>
      </c>
      <c r="U17" t="str">
        <f>IF(S17="Accepted",IF(J17&gt;20, "Accepted", "Rejected"), "Rejected")</f>
        <v>Accepted</v>
      </c>
      <c r="V17" s="2">
        <v>42254</v>
      </c>
      <c r="W17" s="2">
        <v>42257</v>
      </c>
      <c r="X17" s="3">
        <f>+W17-R17</f>
        <v>9</v>
      </c>
      <c r="Y17" t="str">
        <v>Tarjeta enviada</v>
      </c>
      <c r="Z17" s="4">
        <v>30921</v>
      </c>
      <c r="AA17" t="str">
        <v>5 ago documentación incompleta. 7 sep se autoriza el crédito por 30921.</v>
      </c>
    </row>
    <row r="18">
      <c r="A18">
        <v>24</v>
      </c>
      <c r="B18">
        <v>232278</v>
      </c>
      <c r="C18">
        <v>29</v>
      </c>
      <c r="D18" t="str">
        <v>single</v>
      </c>
      <c r="E18" t="str">
        <v>female</v>
      </c>
      <c r="F18" t="str">
        <v>Tlaxcala</v>
      </c>
      <c r="G18">
        <v>215</v>
      </c>
      <c r="H18">
        <v>4</v>
      </c>
      <c r="I18">
        <v>62</v>
      </c>
      <c r="J18" t="str">
        <v>NA</v>
      </c>
      <c r="K18" s="2">
        <v>42234</v>
      </c>
      <c r="L18" s="2">
        <v>42234</v>
      </c>
      <c r="M18">
        <v>1</v>
      </c>
      <c r="N18" s="3">
        <f>+L18-K18</f>
        <v>0</v>
      </c>
      <c r="P18" s="2">
        <v>42241</v>
      </c>
      <c r="Q18" s="3">
        <f>+P18-K18</f>
        <v>7</v>
      </c>
      <c r="R18" s="2">
        <v>42245</v>
      </c>
      <c r="S18" t="str">
        <f>IF(I18&gt;70, "Accepted", "Rejected")</f>
        <v>Rejected</v>
      </c>
      <c r="T18" s="2">
        <v>42248</v>
      </c>
      <c r="U18" t="str">
        <v>NA</v>
      </c>
      <c r="V18" t="str">
        <v>NA</v>
      </c>
      <c r="Y18" t="str">
        <v>Rechazo Buró</v>
      </c>
      <c r="AA18" t="str">
        <v xml:space="preserve">1 sep Rechazo Buró. </v>
      </c>
    </row>
    <row r="19">
      <c r="A19">
        <v>6</v>
      </c>
      <c r="B19">
        <v>232426</v>
      </c>
      <c r="C19">
        <v>21</v>
      </c>
      <c r="D19" t="str">
        <v>single</v>
      </c>
      <c r="E19" t="str">
        <v>male</v>
      </c>
      <c r="F19" t="str">
        <v xml:space="preserve">Morelos </v>
      </c>
      <c r="G19">
        <v>220</v>
      </c>
      <c r="H19">
        <v>1</v>
      </c>
      <c r="I19">
        <v>72</v>
      </c>
      <c r="J19">
        <v>15</v>
      </c>
      <c r="K19" s="2">
        <v>42223</v>
      </c>
      <c r="L19" s="2">
        <v>42223</v>
      </c>
      <c r="M19">
        <v>1</v>
      </c>
      <c r="N19" s="3">
        <f>+L19-K19</f>
        <v>0</v>
      </c>
      <c r="P19" s="2">
        <v>42225</v>
      </c>
      <c r="Q19" s="3">
        <f>+P19-K19</f>
        <v>2</v>
      </c>
      <c r="R19" s="2">
        <v>42228</v>
      </c>
      <c r="S19" t="str">
        <f>IF(I19&gt;70, "Accepted", "Rejected")</f>
        <v>Accepted</v>
      </c>
      <c r="T19" s="2">
        <v>42234</v>
      </c>
      <c r="U19" t="str">
        <f>IF(S19="Accepted",IF(J19&gt;20, "Accepted", "Rejected"), "Rejected")</f>
        <v>Rejected</v>
      </c>
      <c r="V19" s="2">
        <v>42235</v>
      </c>
      <c r="Y19" t="str">
        <v>Rechazo Score</v>
      </c>
      <c r="AA19" t="str">
        <v>19 ago Rechazo Score</v>
      </c>
    </row>
    <row r="20">
      <c r="A20">
        <v>92</v>
      </c>
      <c r="B20">
        <v>234031</v>
      </c>
      <c r="C20">
        <v>28</v>
      </c>
      <c r="D20" t="str">
        <v>single</v>
      </c>
      <c r="E20" t="str">
        <v>female</v>
      </c>
      <c r="F20" t="str">
        <v>Veracruz</v>
      </c>
      <c r="G20">
        <v>232</v>
      </c>
      <c r="H20">
        <v>1</v>
      </c>
      <c r="I20">
        <v>40</v>
      </c>
      <c r="J20" t="str">
        <v>NA</v>
      </c>
      <c r="K20" s="2">
        <v>42260</v>
      </c>
      <c r="L20" s="2">
        <v>42297</v>
      </c>
      <c r="M20">
        <v>2</v>
      </c>
      <c r="N20" s="3">
        <f>+L20-K20</f>
        <v>37</v>
      </c>
      <c r="P20" s="2">
        <v>42298</v>
      </c>
      <c r="Q20" s="3">
        <f>+P20-K20</f>
        <v>38</v>
      </c>
      <c r="R20" s="2">
        <v>42300</v>
      </c>
      <c r="S20" t="str">
        <f>IF(I20&gt;70, "Accepted", "Rejected")</f>
        <v>Rejected</v>
      </c>
      <c r="T20" s="2">
        <v>42300</v>
      </c>
      <c r="U20" t="str">
        <v>NA</v>
      </c>
      <c r="V20" t="str">
        <v>NA</v>
      </c>
      <c r="Y20" t="str">
        <v>Rechazo Buró</v>
      </c>
      <c r="AA20" t="str">
        <v>13 sep error de captura. 23 Oct Rechazo Buró</v>
      </c>
    </row>
    <row r="21">
      <c r="A21">
        <v>17</v>
      </c>
      <c r="B21">
        <v>236787</v>
      </c>
      <c r="C21">
        <v>19</v>
      </c>
      <c r="D21" t="str">
        <v>single</v>
      </c>
      <c r="E21" t="str">
        <v>male</v>
      </c>
      <c r="F21" t="str">
        <v>Veracruz</v>
      </c>
      <c r="G21">
        <v>232</v>
      </c>
      <c r="H21">
        <v>8</v>
      </c>
      <c r="I21">
        <v>44</v>
      </c>
      <c r="J21" t="str">
        <v>NA</v>
      </c>
      <c r="K21" s="2">
        <v>42194</v>
      </c>
      <c r="L21" s="2">
        <v>42215</v>
      </c>
      <c r="M21">
        <v>2</v>
      </c>
      <c r="N21" s="3">
        <f>+L21-K21</f>
        <v>21</v>
      </c>
      <c r="P21" s="2">
        <v>42227</v>
      </c>
      <c r="Q21" s="3">
        <f>+P21-K21</f>
        <v>33</v>
      </c>
      <c r="R21" s="2">
        <v>42232</v>
      </c>
      <c r="S21" t="str">
        <f>IF(I21&gt;70, "Accepted", "Rejected")</f>
        <v>Rejected</v>
      </c>
      <c r="T21" s="2">
        <v>42233</v>
      </c>
      <c r="U21" t="str">
        <v>NA</v>
      </c>
      <c r="V21" t="str">
        <v>NA</v>
      </c>
      <c r="Y21" t="str">
        <v>Rechazo Buró</v>
      </c>
      <c r="AA21" t="str">
        <v>15 jul. error de captura. 17 ago Rechazo Buró</v>
      </c>
    </row>
    <row r="22">
      <c r="A22">
        <v>91</v>
      </c>
      <c r="B22">
        <v>236954</v>
      </c>
      <c r="C22">
        <v>45</v>
      </c>
      <c r="D22" t="str">
        <v>single</v>
      </c>
      <c r="E22" t="str">
        <v>male</v>
      </c>
      <c r="F22" t="str">
        <v>Veracruz</v>
      </c>
      <c r="G22">
        <v>232</v>
      </c>
      <c r="H22">
        <v>4</v>
      </c>
      <c r="I22">
        <v>82</v>
      </c>
      <c r="J22">
        <v>28</v>
      </c>
      <c r="K22" s="2">
        <v>42276</v>
      </c>
      <c r="L22" s="2">
        <v>42295</v>
      </c>
      <c r="M22">
        <v>3</v>
      </c>
      <c r="N22" s="3">
        <f>+L22-K22</f>
        <v>19</v>
      </c>
      <c r="P22" s="2">
        <v>42297</v>
      </c>
      <c r="Q22" s="3">
        <f>+P22-K22</f>
        <v>21</v>
      </c>
      <c r="R22" s="2">
        <v>42299</v>
      </c>
      <c r="S22" t="str">
        <f>IF(I22&gt;70, "Accepted", "Rejected")</f>
        <v>Accepted</v>
      </c>
      <c r="T22" s="2">
        <v>42301</v>
      </c>
      <c r="U22" t="str">
        <f>IF(S22="Accepted",IF(J22&gt;20, "Accepted", "Rejected"), "Rejected")</f>
        <v>Accepted</v>
      </c>
      <c r="V22" s="2">
        <v>42301</v>
      </c>
      <c r="W22" s="2">
        <v>42303</v>
      </c>
      <c r="X22" s="3">
        <f>+W22-R22</f>
        <v>4</v>
      </c>
      <c r="Y22" t="str">
        <v>Tarjeta enviada</v>
      </c>
      <c r="Z22" s="4">
        <v>42300</v>
      </c>
      <c r="AA22" t="str">
        <v>29 sep documentación incompleta. 4 oct identificación no valida. 26 oct se autoriza</v>
      </c>
    </row>
    <row r="23">
      <c r="A23">
        <v>99</v>
      </c>
      <c r="B23">
        <v>241677</v>
      </c>
      <c r="C23">
        <v>46</v>
      </c>
      <c r="D23" t="str">
        <v>single</v>
      </c>
      <c r="E23" t="str">
        <v>male</v>
      </c>
      <c r="F23" t="str">
        <v>Veracruz</v>
      </c>
      <c r="G23">
        <v>233</v>
      </c>
      <c r="H23">
        <v>9</v>
      </c>
      <c r="I23">
        <v>92</v>
      </c>
      <c r="J23">
        <v>27</v>
      </c>
      <c r="K23" s="2">
        <v>42272</v>
      </c>
      <c r="L23" s="2">
        <v>42272</v>
      </c>
      <c r="M23">
        <v>1</v>
      </c>
      <c r="N23" s="3">
        <f>+L23-K23</f>
        <v>0</v>
      </c>
      <c r="P23" s="2">
        <v>42273</v>
      </c>
      <c r="Q23" s="3">
        <f>+P23-K23</f>
        <v>1</v>
      </c>
      <c r="R23" s="2">
        <v>42277</v>
      </c>
      <c r="S23" t="str">
        <f>IF(I23&gt;70, "Accepted", "Rejected")</f>
        <v>Accepted</v>
      </c>
      <c r="T23" s="2">
        <v>42277</v>
      </c>
      <c r="U23" t="str">
        <f>IF(S23="Accepted",IF(J23&gt;20, "Accepted", "Rejected"), "Rejected")</f>
        <v>Accepted</v>
      </c>
      <c r="V23" s="2">
        <v>42277</v>
      </c>
      <c r="W23" s="2">
        <v>42283</v>
      </c>
      <c r="X23" s="3">
        <f>+W23-R23</f>
        <v>6</v>
      </c>
      <c r="Y23" t="str">
        <v>Tarjeta enviada</v>
      </c>
      <c r="Z23" s="4">
        <v>58500</v>
      </c>
      <c r="AA23" t="str">
        <v>6 oct Envío de platico se autoriza el crédito por 58,500</v>
      </c>
    </row>
    <row r="24">
      <c r="A24">
        <v>52</v>
      </c>
      <c r="B24">
        <v>248302</v>
      </c>
      <c r="C24">
        <v>23</v>
      </c>
      <c r="D24" t="str">
        <v>single</v>
      </c>
      <c r="E24" t="str">
        <v>maculino</v>
      </c>
      <c r="F24" t="str">
        <v>Chihuahua</v>
      </c>
      <c r="G24">
        <v>267</v>
      </c>
      <c r="H24">
        <v>2</v>
      </c>
      <c r="I24">
        <v>72</v>
      </c>
      <c r="J24">
        <v>18</v>
      </c>
      <c r="K24" s="2">
        <v>42233</v>
      </c>
      <c r="L24" s="2">
        <v>42274</v>
      </c>
      <c r="M24">
        <v>3</v>
      </c>
      <c r="N24" s="3">
        <f>+L24-K24</f>
        <v>41</v>
      </c>
      <c r="P24" s="2">
        <v>42275</v>
      </c>
      <c r="Q24" s="3">
        <f>+P24-K24</f>
        <v>42</v>
      </c>
      <c r="R24" s="2">
        <v>42280</v>
      </c>
      <c r="S24" t="str">
        <f>IF(I24&gt;70, "Accepted", "Rejected")</f>
        <v>Accepted</v>
      </c>
      <c r="T24" s="2">
        <v>42284</v>
      </c>
      <c r="U24" t="str">
        <f>IF(S24="Accepted",IF(J24&gt;20, "Accepted", "Rejected"), "Rejected")</f>
        <v>Rejected</v>
      </c>
      <c r="V24" s="2">
        <v>42285</v>
      </c>
      <c r="Y24" t="str">
        <v>Rechazo Score</v>
      </c>
      <c r="AA24" t="str">
        <v>20 ago documentación incompleta. 22 sep documentación ilegible. 8 oct Rechazo Score.</v>
      </c>
    </row>
    <row r="25">
      <c r="A25">
        <v>63</v>
      </c>
      <c r="B25">
        <v>253018</v>
      </c>
      <c r="C25">
        <v>40</v>
      </c>
      <c r="D25" t="str">
        <v>married</v>
      </c>
      <c r="E25" t="str">
        <v>male</v>
      </c>
      <c r="F25" t="str">
        <v>Chihuahua</v>
      </c>
      <c r="G25">
        <v>267</v>
      </c>
      <c r="H25">
        <v>1</v>
      </c>
      <c r="I25">
        <v>68</v>
      </c>
      <c r="J25" t="str">
        <v>NA</v>
      </c>
      <c r="K25" s="2">
        <v>42249</v>
      </c>
      <c r="L25" s="2">
        <v>42269</v>
      </c>
      <c r="M25">
        <v>2</v>
      </c>
      <c r="N25" s="3">
        <f>+L25-K25</f>
        <v>20</v>
      </c>
      <c r="P25" s="2">
        <v>42271</v>
      </c>
      <c r="Q25" s="3">
        <f>+P25-K25</f>
        <v>22</v>
      </c>
      <c r="R25" s="2">
        <v>42274</v>
      </c>
      <c r="S25" t="str">
        <f>IF(I25&gt;70, "Accepted", "Rejected")</f>
        <v>Rejected</v>
      </c>
      <c r="T25" s="2">
        <v>42276</v>
      </c>
      <c r="U25" t="str">
        <v>NA</v>
      </c>
      <c r="V25" t="str">
        <v>NA</v>
      </c>
      <c r="Y25" t="str">
        <v>Rechazo Buró</v>
      </c>
      <c r="AA25" t="str">
        <v>10-sep error de captura. 29-sep Rechazo Buró.</v>
      </c>
    </row>
    <row r="26">
      <c r="A26">
        <v>94</v>
      </c>
      <c r="B26">
        <v>255928</v>
      </c>
      <c r="C26">
        <v>43</v>
      </c>
      <c r="D26" t="str">
        <v>single</v>
      </c>
      <c r="E26" t="str">
        <v>female</v>
      </c>
      <c r="F26" t="str">
        <v>Chiapas</v>
      </c>
      <c r="G26">
        <v>271</v>
      </c>
      <c r="H26">
        <v>6</v>
      </c>
      <c r="I26">
        <v>79</v>
      </c>
      <c r="J26">
        <v>26</v>
      </c>
      <c r="K26" s="2">
        <v>42254</v>
      </c>
      <c r="L26" s="2">
        <v>42254</v>
      </c>
      <c r="M26">
        <v>1</v>
      </c>
      <c r="N26" s="3">
        <f>+L26-K26</f>
        <v>0</v>
      </c>
      <c r="P26" s="2">
        <v>42256</v>
      </c>
      <c r="Q26" s="3">
        <f>+P26-K26</f>
        <v>2</v>
      </c>
      <c r="R26" s="2">
        <v>42261</v>
      </c>
      <c r="S26" t="str">
        <f>IF(I26&gt;70, "Accepted", "Rejected")</f>
        <v>Accepted</v>
      </c>
      <c r="T26" s="2">
        <v>42262</v>
      </c>
      <c r="U26" t="str">
        <f>IF(S26="Accepted",IF(J26&gt;20, "Accepted", "Rejected"), "Rejected")</f>
        <v>Accepted</v>
      </c>
      <c r="V26" s="2">
        <v>42262</v>
      </c>
      <c r="W26" s="2">
        <v>42265</v>
      </c>
      <c r="X26" s="3">
        <f>+W26-R26</f>
        <v>4</v>
      </c>
      <c r="Y26" t="str">
        <v>Tarjeta enviada</v>
      </c>
      <c r="Z26" s="4">
        <v>13600</v>
      </c>
      <c r="AA26" t="str">
        <v>18 sep Envío de plástico. Se autoriza el crédito por 13,600</v>
      </c>
    </row>
    <row r="27">
      <c r="A27">
        <v>69</v>
      </c>
      <c r="B27">
        <v>257810</v>
      </c>
      <c r="C27">
        <v>35</v>
      </c>
      <c r="D27" t="str">
        <v>married</v>
      </c>
      <c r="E27" t="str">
        <v>male</v>
      </c>
      <c r="F27" t="str">
        <v xml:space="preserve">Durango </v>
      </c>
      <c r="G27">
        <v>274</v>
      </c>
      <c r="H27">
        <v>3</v>
      </c>
      <c r="I27">
        <v>92</v>
      </c>
      <c r="J27">
        <v>27</v>
      </c>
      <c r="K27" s="2">
        <v>42243</v>
      </c>
      <c r="L27" s="2">
        <v>42264</v>
      </c>
      <c r="M27">
        <v>2</v>
      </c>
      <c r="N27" s="3">
        <f>+L27-K27</f>
        <v>21</v>
      </c>
      <c r="P27" s="2">
        <v>42266</v>
      </c>
      <c r="Q27" s="3">
        <f>+P27-K27</f>
        <v>23</v>
      </c>
      <c r="R27" s="2">
        <v>42268</v>
      </c>
      <c r="S27" t="str">
        <f>IF(I27&gt;70, "Accepted", "Rejected")</f>
        <v>Accepted</v>
      </c>
      <c r="T27" s="2">
        <v>42274</v>
      </c>
      <c r="U27" t="str">
        <f>IF(S27="Accepted",IF(J27&gt;20, "Accepted", "Rejected"), "Rejected")</f>
        <v>Accepted</v>
      </c>
      <c r="V27" s="2">
        <v>42274</v>
      </c>
      <c r="W27" s="2">
        <v>42276</v>
      </c>
      <c r="X27" s="3">
        <f>+W27-R27</f>
        <v>8</v>
      </c>
      <c r="Y27" t="str">
        <v>Tarjeta enviada</v>
      </c>
      <c r="Z27" s="4">
        <v>75000</v>
      </c>
      <c r="AA27" t="str">
        <v>31 ago documentación incompleta. 27 sep se autoriza crédito por 75000.</v>
      </c>
    </row>
    <row r="28">
      <c r="A28">
        <v>90</v>
      </c>
      <c r="B28">
        <v>259252</v>
      </c>
      <c r="C28">
        <v>23</v>
      </c>
      <c r="D28" t="str">
        <v>married</v>
      </c>
      <c r="E28" t="str">
        <v>male</v>
      </c>
      <c r="F28" t="str">
        <v>Tlaxcala</v>
      </c>
      <c r="G28">
        <v>278</v>
      </c>
      <c r="H28">
        <v>9</v>
      </c>
      <c r="I28">
        <v>74</v>
      </c>
      <c r="J28">
        <v>27</v>
      </c>
      <c r="K28" s="2">
        <v>42250</v>
      </c>
      <c r="L28" s="2">
        <v>42275</v>
      </c>
      <c r="M28">
        <v>2</v>
      </c>
      <c r="N28" s="3">
        <f>+L28-K28</f>
        <v>25</v>
      </c>
      <c r="P28" s="2">
        <v>42275</v>
      </c>
      <c r="Q28" s="3">
        <f>+P28-K28</f>
        <v>25</v>
      </c>
      <c r="R28" s="2">
        <v>42282</v>
      </c>
      <c r="S28" t="str">
        <f>IF(I28&gt;70, "Accepted", "Rejected")</f>
        <v>Accepted</v>
      </c>
      <c r="T28" s="2">
        <v>42283</v>
      </c>
      <c r="U28" t="str">
        <f>IF(S28="Accepted",IF(J28&gt;20, "Accepted", "Rejected"), "Rejected")</f>
        <v>Accepted</v>
      </c>
      <c r="V28" s="2">
        <v>42283</v>
      </c>
      <c r="W28" s="2">
        <v>42294</v>
      </c>
      <c r="X28" s="3">
        <f>+W28-R28</f>
        <v>12</v>
      </c>
      <c r="Y28" t="str">
        <v>Tarjeta enviada</v>
      </c>
      <c r="Z28" s="4">
        <v>26000</v>
      </c>
      <c r="AA28" t="str">
        <v xml:space="preserve">4 sep documentación incompleta. 6 oct se autoriza </v>
      </c>
    </row>
    <row r="29">
      <c r="A29">
        <v>73</v>
      </c>
      <c r="B29">
        <v>259625</v>
      </c>
      <c r="C29">
        <v>33</v>
      </c>
      <c r="D29" t="str">
        <v>single</v>
      </c>
      <c r="E29" t="str">
        <v>male</v>
      </c>
      <c r="F29" t="str">
        <v>Guerrero</v>
      </c>
      <c r="G29">
        <v>279</v>
      </c>
      <c r="H29">
        <v>5</v>
      </c>
      <c r="I29">
        <v>73</v>
      </c>
      <c r="J29">
        <v>23</v>
      </c>
      <c r="K29" s="2">
        <v>42203</v>
      </c>
      <c r="L29" s="2">
        <v>42287</v>
      </c>
      <c r="M29">
        <v>3</v>
      </c>
      <c r="N29" s="3">
        <f>+L29-K29</f>
        <v>84</v>
      </c>
      <c r="P29" s="2">
        <v>42289</v>
      </c>
      <c r="Q29" s="3">
        <f>+P29-K29</f>
        <v>86</v>
      </c>
      <c r="R29" s="2">
        <v>42290</v>
      </c>
      <c r="S29" t="str">
        <f>IF(I29&gt;70, "Accepted", "Rejected")</f>
        <v>Accepted</v>
      </c>
      <c r="T29" s="2">
        <v>42292</v>
      </c>
      <c r="U29" t="str">
        <f>IF(S29="Accepted",IF(J29&gt;20, "Accepted", "Rejected"), "Rejected")</f>
        <v>Accepted</v>
      </c>
      <c r="V29" s="2">
        <v>42292</v>
      </c>
      <c r="W29" s="2">
        <v>42296</v>
      </c>
      <c r="X29" s="3">
        <f>+W29-R29</f>
        <v>6</v>
      </c>
      <c r="Y29" t="str">
        <v>Tarjeta enviada</v>
      </c>
      <c r="Z29" s="4">
        <v>28550</v>
      </c>
      <c r="AA29" t="str">
        <v>20 jul error de captura. 2 ago documentación incompleta. 13 sep documentación ilegible. 15 oct se autoriza el crédito por 28,550</v>
      </c>
    </row>
    <row r="30">
      <c r="A30">
        <v>79</v>
      </c>
      <c r="B30">
        <v>259768</v>
      </c>
      <c r="C30">
        <v>28</v>
      </c>
      <c r="D30" t="str">
        <v>single</v>
      </c>
      <c r="E30" t="str">
        <v>male</v>
      </c>
      <c r="F30" t="str">
        <v>D.F.</v>
      </c>
      <c r="G30">
        <v>290</v>
      </c>
      <c r="H30">
        <v>8</v>
      </c>
      <c r="I30">
        <v>81</v>
      </c>
      <c r="J30">
        <v>25</v>
      </c>
      <c r="K30" s="2">
        <v>42265</v>
      </c>
      <c r="L30" s="2">
        <v>42265</v>
      </c>
      <c r="M30">
        <v>1</v>
      </c>
      <c r="N30" s="3">
        <f>+L30-K30</f>
        <v>0</v>
      </c>
      <c r="P30" s="2">
        <v>42267</v>
      </c>
      <c r="Q30" s="3">
        <f>+P30-K30</f>
        <v>2</v>
      </c>
      <c r="R30" s="2">
        <v>42269</v>
      </c>
      <c r="S30" t="str">
        <f>IF(I30&gt;70, "Accepted", "Rejected")</f>
        <v>Accepted</v>
      </c>
      <c r="T30" s="2">
        <v>42272</v>
      </c>
      <c r="U30" t="str">
        <f>IF(S30="Accepted",IF(J30&gt;20, "Accepted", "Rejected"), "Rejected")</f>
        <v>Accepted</v>
      </c>
      <c r="V30" s="2">
        <v>42272</v>
      </c>
      <c r="W30" s="2">
        <v>42277</v>
      </c>
      <c r="X30" s="3">
        <f>+W30-R30</f>
        <v>8</v>
      </c>
      <c r="Y30" t="str">
        <v>Tarjeta enviada</v>
      </c>
      <c r="Z30" s="4">
        <v>22200</v>
      </c>
      <c r="AA30" t="str">
        <v>25 sep se autoriza el crédito por 20,200</v>
      </c>
    </row>
    <row r="31">
      <c r="A31">
        <v>27</v>
      </c>
      <c r="B31">
        <v>268453</v>
      </c>
      <c r="C31">
        <v>37</v>
      </c>
      <c r="D31" t="str">
        <v>married</v>
      </c>
      <c r="E31" t="str">
        <v>male</v>
      </c>
      <c r="F31" t="str">
        <v>D.F.</v>
      </c>
      <c r="G31">
        <v>312</v>
      </c>
      <c r="H31">
        <v>3</v>
      </c>
      <c r="I31">
        <v>79</v>
      </c>
      <c r="J31">
        <v>25</v>
      </c>
      <c r="K31" s="2">
        <v>42203</v>
      </c>
      <c r="L31" s="2">
        <v>42289</v>
      </c>
      <c r="M31">
        <v>6</v>
      </c>
      <c r="N31" s="3">
        <f>+L31-K31</f>
        <v>86</v>
      </c>
      <c r="P31" s="2">
        <v>42289</v>
      </c>
      <c r="Q31" s="3">
        <f>+P31-K31</f>
        <v>86</v>
      </c>
      <c r="R31" s="2">
        <v>42291</v>
      </c>
      <c r="S31" t="str">
        <f>IF(I31&gt;70, "Accepted", "Rejected")</f>
        <v>Accepted</v>
      </c>
      <c r="T31" s="2">
        <v>42291</v>
      </c>
      <c r="U31" t="str">
        <f>IF(S31="Accepted",IF(J31&gt;20, "Accepted", "Rejected"), "Rejected")</f>
        <v>Accepted</v>
      </c>
      <c r="V31" s="2">
        <v>42292</v>
      </c>
      <c r="Y31" t="str">
        <v>Aceptado Score</v>
      </c>
      <c r="Z31" s="4">
        <v>39500</v>
      </c>
      <c r="AA31" t="str">
        <v>20 jul. documentación ilegible. 27 jul documentación incompleta. 6 ago error de captura. 15 sep error de captura. 27 sep error de captura. 15 oct se autoriza el crédito por 39500.</v>
      </c>
    </row>
    <row r="32">
      <c r="A32">
        <v>1</v>
      </c>
      <c r="B32">
        <v>271410</v>
      </c>
      <c r="C32">
        <v>35</v>
      </c>
      <c r="D32" t="str">
        <v>married</v>
      </c>
      <c r="E32" t="str">
        <v>male</v>
      </c>
      <c r="F32" t="str">
        <v>D.F.</v>
      </c>
      <c r="G32">
        <v>317</v>
      </c>
      <c r="H32">
        <v>3</v>
      </c>
      <c r="I32">
        <v>92</v>
      </c>
      <c r="J32">
        <v>27</v>
      </c>
      <c r="K32" s="2">
        <v>42243</v>
      </c>
      <c r="L32" s="2">
        <v>42264</v>
      </c>
      <c r="M32">
        <v>2</v>
      </c>
      <c r="N32" s="3">
        <f>+L32-K32</f>
        <v>21</v>
      </c>
      <c r="P32" s="2">
        <v>42266</v>
      </c>
      <c r="Q32" s="3">
        <f>+P32-K32</f>
        <v>23</v>
      </c>
      <c r="R32" s="2">
        <v>42268</v>
      </c>
      <c r="S32" t="str">
        <f>IF(I32&gt;70, "Accepted", "Rejected")</f>
        <v>Accepted</v>
      </c>
      <c r="T32" s="2">
        <v>42274</v>
      </c>
      <c r="U32" t="str">
        <f>IF(S32="Accepted",IF(J32&gt;20, "Accepted", "Rejected"), "Rejected")</f>
        <v>Accepted</v>
      </c>
      <c r="V32" s="2">
        <v>42274</v>
      </c>
      <c r="W32" s="2">
        <v>42276</v>
      </c>
      <c r="X32" s="3">
        <f>+W32-R32</f>
        <v>8</v>
      </c>
      <c r="Y32" t="str">
        <v>Tarjeta enviada</v>
      </c>
      <c r="Z32" s="4">
        <v>75000</v>
      </c>
      <c r="AA32" t="str">
        <v>31 ago documentación incompleta. 27 sep se autoriza crédito por 75000.</v>
      </c>
    </row>
    <row r="33">
      <c r="A33">
        <v>45</v>
      </c>
      <c r="B33">
        <v>279985</v>
      </c>
      <c r="C33">
        <v>47</v>
      </c>
      <c r="D33" t="str">
        <v>married</v>
      </c>
      <c r="E33" t="str">
        <v>male</v>
      </c>
      <c r="F33" t="str">
        <v>Edo Mex</v>
      </c>
      <c r="G33">
        <v>332</v>
      </c>
      <c r="H33">
        <v>13</v>
      </c>
      <c r="I33">
        <v>81</v>
      </c>
      <c r="J33">
        <v>25</v>
      </c>
      <c r="K33" s="2">
        <v>42265</v>
      </c>
      <c r="L33" s="2">
        <v>42265</v>
      </c>
      <c r="M33">
        <v>1</v>
      </c>
      <c r="N33" s="3">
        <f>+L33-K33</f>
        <v>0</v>
      </c>
      <c r="P33" s="2">
        <v>42266</v>
      </c>
      <c r="Q33" s="3">
        <f>+P33-K33</f>
        <v>1</v>
      </c>
      <c r="R33" s="2">
        <v>42266</v>
      </c>
      <c r="S33" t="str">
        <f>IF(I33&gt;70, "Accepted", "Rejected")</f>
        <v>Accepted</v>
      </c>
      <c r="T33" s="2">
        <v>42267</v>
      </c>
      <c r="U33" t="str">
        <f>IF(S33="Accepted",IF(J33&gt;20, "Accepted", "Rejected"), "Rejected")</f>
        <v>Accepted</v>
      </c>
      <c r="V33" s="2">
        <v>42268</v>
      </c>
      <c r="W33" s="2">
        <v>42270</v>
      </c>
      <c r="X33" s="3">
        <f>+W33-R33</f>
        <v>4</v>
      </c>
      <c r="Y33" t="str">
        <v>Tarjeta enviada</v>
      </c>
      <c r="Z33" s="4">
        <v>120000</v>
      </c>
      <c r="AA33" t="str">
        <v>21-sep se autoriza crédito por 12000.</v>
      </c>
    </row>
    <row r="34">
      <c r="A34">
        <v>89</v>
      </c>
      <c r="B34">
        <v>297387</v>
      </c>
      <c r="C34">
        <v>46</v>
      </c>
      <c r="D34" t="str">
        <v>married</v>
      </c>
      <c r="E34" t="str">
        <v>female</v>
      </c>
      <c r="F34" t="str">
        <v>D.F.</v>
      </c>
      <c r="G34">
        <v>336</v>
      </c>
      <c r="H34">
        <v>11</v>
      </c>
      <c r="I34">
        <v>77</v>
      </c>
      <c r="J34">
        <v>22</v>
      </c>
      <c r="K34" s="2">
        <v>42270</v>
      </c>
      <c r="L34" s="2">
        <v>42271</v>
      </c>
      <c r="M34">
        <v>1</v>
      </c>
      <c r="N34" s="3">
        <f>+L34-K34</f>
        <v>1</v>
      </c>
      <c r="P34" s="2">
        <v>42271</v>
      </c>
      <c r="Q34" s="3">
        <f>+P34-K34</f>
        <v>1</v>
      </c>
      <c r="R34" s="2">
        <v>42274</v>
      </c>
      <c r="S34" t="str">
        <f>IF(I34&gt;70, "Accepted", "Rejected")</f>
        <v>Accepted</v>
      </c>
      <c r="T34" s="2">
        <v>42277</v>
      </c>
      <c r="U34" t="str">
        <f>IF(S34="Accepted",IF(J34&gt;20, "Accepted", "Rejected"), "Rejected")</f>
        <v>Accepted</v>
      </c>
      <c r="V34" s="2">
        <v>42277</v>
      </c>
      <c r="W34" s="2">
        <v>42280</v>
      </c>
      <c r="X34" s="3">
        <f>+W34-R34</f>
        <v>6</v>
      </c>
      <c r="Y34" t="str">
        <v>Tarjeta enviada</v>
      </c>
      <c r="Z34" s="4">
        <v>39200</v>
      </c>
      <c r="AA34" t="str">
        <v>3 oct se autoriza el crédito por 39,200</v>
      </c>
    </row>
    <row r="35">
      <c r="A35">
        <v>60</v>
      </c>
      <c r="B35">
        <v>301259</v>
      </c>
      <c r="C35">
        <v>30</v>
      </c>
      <c r="D35" t="str">
        <v>married</v>
      </c>
      <c r="E35" t="str">
        <v>male</v>
      </c>
      <c r="F35" t="str">
        <v>D.F.</v>
      </c>
      <c r="G35">
        <v>336</v>
      </c>
      <c r="H35">
        <v>5</v>
      </c>
      <c r="I35">
        <v>85</v>
      </c>
      <c r="J35">
        <v>22</v>
      </c>
      <c r="K35" s="2">
        <v>42191</v>
      </c>
      <c r="L35" s="2">
        <v>42260</v>
      </c>
      <c r="M35">
        <v>2</v>
      </c>
      <c r="N35" s="3">
        <f>+L35-K35</f>
        <v>69</v>
      </c>
      <c r="P35" s="2">
        <v>42269</v>
      </c>
      <c r="Q35" s="3">
        <f>+P35-K35</f>
        <v>78</v>
      </c>
      <c r="R35" s="2">
        <v>42274</v>
      </c>
      <c r="S35" t="str">
        <f>IF(I35&gt;70, "Accepted", "Rejected")</f>
        <v>Accepted</v>
      </c>
      <c r="T35" s="2">
        <v>42276</v>
      </c>
      <c r="U35" t="str">
        <f>IF(S35="Accepted",IF(J35&gt;20, "Accepted", "Rejected"), "Rejected")</f>
        <v>Accepted</v>
      </c>
      <c r="V35" s="2">
        <v>42276</v>
      </c>
      <c r="W35" s="2">
        <v>42279</v>
      </c>
      <c r="X35" s="3">
        <f>+W35-R35</f>
        <v>5</v>
      </c>
      <c r="Y35" t="str">
        <v>Tarjeta enviada</v>
      </c>
      <c r="Z35" s="4">
        <v>31200</v>
      </c>
      <c r="AA35" t="str">
        <v>21-jul documentación incompleta. 29-sep se autoriza crédito por 31200.</v>
      </c>
    </row>
    <row r="36">
      <c r="A36">
        <v>53</v>
      </c>
      <c r="B36">
        <v>302798</v>
      </c>
      <c r="C36">
        <v>25</v>
      </c>
      <c r="D36" t="str">
        <v>single</v>
      </c>
      <c r="E36" t="str">
        <v>male</v>
      </c>
      <c r="F36" t="str">
        <v>D.F.</v>
      </c>
      <c r="G36">
        <v>336</v>
      </c>
      <c r="H36">
        <v>3</v>
      </c>
      <c r="I36">
        <v>64</v>
      </c>
      <c r="J36" t="str">
        <v>NA</v>
      </c>
      <c r="K36" s="2">
        <v>42297</v>
      </c>
      <c r="L36" s="2">
        <v>42297</v>
      </c>
      <c r="M36">
        <v>1</v>
      </c>
      <c r="N36" s="3">
        <f>+L36-K36</f>
        <v>0</v>
      </c>
      <c r="P36" s="2">
        <v>42300</v>
      </c>
      <c r="Q36" s="3">
        <f>+P36-K36</f>
        <v>3</v>
      </c>
      <c r="R36" s="2">
        <v>42305</v>
      </c>
      <c r="S36" t="str">
        <f>IF(I36&gt;70, "Accepted", "Rejected")</f>
        <v>Rejected</v>
      </c>
      <c r="T36" s="2">
        <v>42308</v>
      </c>
      <c r="U36" t="str">
        <v>NA</v>
      </c>
      <c r="V36" t="str">
        <v>NA</v>
      </c>
      <c r="Y36" t="str">
        <v>Rechazo Buró</v>
      </c>
      <c r="AA36" t="str">
        <v>31-oct Rechazo Buró.</v>
      </c>
    </row>
    <row r="37">
      <c r="A37">
        <v>13</v>
      </c>
      <c r="B37">
        <v>346011</v>
      </c>
      <c r="C37">
        <v>39</v>
      </c>
      <c r="D37" t="str">
        <v>married</v>
      </c>
      <c r="E37" t="str">
        <v>male</v>
      </c>
      <c r="F37" t="str">
        <v>D.F.</v>
      </c>
      <c r="G37">
        <v>336</v>
      </c>
      <c r="H37">
        <v>2</v>
      </c>
      <c r="I37">
        <v>72</v>
      </c>
      <c r="J37">
        <v>22</v>
      </c>
      <c r="K37" s="2">
        <v>42221</v>
      </c>
      <c r="L37" s="2">
        <v>42289</v>
      </c>
      <c r="M37">
        <v>4</v>
      </c>
      <c r="N37" s="3">
        <f>+L37-K37</f>
        <v>68</v>
      </c>
      <c r="P37" s="2">
        <v>42290</v>
      </c>
      <c r="Q37" s="3">
        <f>+P37-K37</f>
        <v>69</v>
      </c>
      <c r="R37" s="2">
        <v>42291</v>
      </c>
      <c r="S37" t="str">
        <f>IF(I37&gt;70, "Accepted", "Rejected")</f>
        <v>Accepted</v>
      </c>
      <c r="T37" s="2">
        <v>42292</v>
      </c>
      <c r="U37" t="str">
        <f>IF(S37="Accepted",IF(J37&gt;20, "Accepted", "Rejected"), "Rejected")</f>
        <v>Accepted</v>
      </c>
      <c r="V37" s="2">
        <v>42292</v>
      </c>
      <c r="Y37" t="str">
        <v>Aceptado Score</v>
      </c>
      <c r="Z37" s="4">
        <v>27800</v>
      </c>
      <c r="AA37" t="str">
        <v>7 ago error de captura. 17 ago documentación incompleta. 21 sep documentación incompleta.15 oct se autoriza el crédito por 27,800.</v>
      </c>
    </row>
    <row r="38">
      <c r="A38">
        <v>2</v>
      </c>
      <c r="B38">
        <v>352170</v>
      </c>
      <c r="C38">
        <v>30</v>
      </c>
      <c r="D38" t="str">
        <v>single</v>
      </c>
      <c r="E38" t="str">
        <v>male</v>
      </c>
      <c r="F38" t="str">
        <v>D.F.</v>
      </c>
      <c r="G38">
        <v>336</v>
      </c>
      <c r="H38">
        <v>5</v>
      </c>
      <c r="I38">
        <v>60</v>
      </c>
      <c r="J38" t="str">
        <v>NA</v>
      </c>
      <c r="K38" s="2">
        <v>42185</v>
      </c>
      <c r="L38" s="2">
        <v>42278</v>
      </c>
      <c r="M38">
        <v>4</v>
      </c>
      <c r="N38" s="3">
        <f>+L38-K38</f>
        <v>93</v>
      </c>
      <c r="P38" s="2">
        <v>42280</v>
      </c>
      <c r="Q38" s="3">
        <f>+P38-K38</f>
        <v>95</v>
      </c>
      <c r="R38" s="2">
        <v>42281</v>
      </c>
      <c r="S38" t="str">
        <f>IF(I38&gt;70, "Accepted", "Rejected")</f>
        <v>Rejected</v>
      </c>
      <c r="T38" s="2">
        <v>42283</v>
      </c>
      <c r="U38" t="str">
        <v>NA</v>
      </c>
      <c r="V38" t="str">
        <v>NA</v>
      </c>
      <c r="Y38" t="str">
        <v>Rechazo Buró</v>
      </c>
      <c r="AA38" t="str">
        <v>2 jul documentación incompleta. 10 de ago Error de captura. 5 sept documentos ilegibles. 6 oct Rechazo Buró.</v>
      </c>
    </row>
    <row r="39">
      <c r="A39">
        <v>70</v>
      </c>
      <c r="B39">
        <v>355570</v>
      </c>
      <c r="C39">
        <v>30</v>
      </c>
      <c r="D39" t="str">
        <v>single</v>
      </c>
      <c r="E39" t="str">
        <v>male</v>
      </c>
      <c r="F39" t="str">
        <v>D.F.</v>
      </c>
      <c r="G39">
        <v>339</v>
      </c>
      <c r="H39">
        <v>5</v>
      </c>
      <c r="I39">
        <v>60</v>
      </c>
      <c r="J39" t="str">
        <v>NA</v>
      </c>
      <c r="K39" s="2">
        <v>42185</v>
      </c>
      <c r="L39" s="2">
        <v>42278</v>
      </c>
      <c r="M39">
        <v>4</v>
      </c>
      <c r="N39" s="3">
        <f>+L39-K39</f>
        <v>93</v>
      </c>
      <c r="P39" s="2">
        <v>42280</v>
      </c>
      <c r="Q39" s="3">
        <f>+P39-K39</f>
        <v>95</v>
      </c>
      <c r="R39" s="2">
        <v>42281</v>
      </c>
      <c r="S39" t="str">
        <f>IF(I39&gt;70, "Accepted", "Rejected")</f>
        <v>Rejected</v>
      </c>
      <c r="T39" s="2">
        <v>42283</v>
      </c>
      <c r="U39" t="str">
        <v>NA</v>
      </c>
      <c r="V39" t="str">
        <v>NA</v>
      </c>
      <c r="Y39" t="str">
        <v>Rechazo Buró</v>
      </c>
      <c r="AA39" t="str">
        <v>2 jul documentación incompleta. 10 de ago Error de captura. 5 sept documentos ilegibles. 6 oct Rechazo Buró.</v>
      </c>
    </row>
    <row r="40">
      <c r="A40">
        <v>26</v>
      </c>
      <c r="B40">
        <v>358032</v>
      </c>
      <c r="C40">
        <v>34</v>
      </c>
      <c r="D40" t="str">
        <v>married</v>
      </c>
      <c r="E40" t="str">
        <v>male</v>
      </c>
      <c r="F40" t="str">
        <v xml:space="preserve">Colima </v>
      </c>
      <c r="G40">
        <v>350</v>
      </c>
      <c r="H40">
        <v>3</v>
      </c>
      <c r="I40">
        <v>89</v>
      </c>
      <c r="J40">
        <v>27</v>
      </c>
      <c r="K40" s="2">
        <v>42253</v>
      </c>
      <c r="L40" s="2">
        <v>42273</v>
      </c>
      <c r="M40">
        <v>2</v>
      </c>
      <c r="N40" s="3">
        <f>+L40-K40</f>
        <v>20</v>
      </c>
      <c r="P40" s="2">
        <v>42279</v>
      </c>
      <c r="Q40" s="3">
        <f>+P40-K40</f>
        <v>26</v>
      </c>
      <c r="R40" s="2">
        <v>42283</v>
      </c>
      <c r="S40" t="str">
        <f>IF(I40&gt;70, "Accepted", "Rejected")</f>
        <v>Accepted</v>
      </c>
      <c r="T40" s="2">
        <v>42285</v>
      </c>
      <c r="U40" t="str">
        <f>IF(S40="Accepted",IF(J40&gt;20, "Accepted", "Rejected"), "Rejected")</f>
        <v>Accepted</v>
      </c>
      <c r="V40" s="2">
        <v>42285</v>
      </c>
      <c r="W40" s="2">
        <v>42288</v>
      </c>
      <c r="X40" s="3">
        <f>+W40-R40</f>
        <v>5</v>
      </c>
      <c r="Y40" t="str">
        <v>Tarjeta enviada</v>
      </c>
      <c r="Z40" s="4">
        <v>46700</v>
      </c>
      <c r="AA40" t="str">
        <v>12 sep documentación incompleta. 8 oct se autoriza crédito por 46700.</v>
      </c>
    </row>
    <row r="41">
      <c r="A41">
        <v>56</v>
      </c>
      <c r="B41">
        <v>360214</v>
      </c>
      <c r="C41">
        <v>57</v>
      </c>
      <c r="D41" t="str">
        <v>married</v>
      </c>
      <c r="E41" t="str">
        <v>male</v>
      </c>
      <c r="F41" t="str">
        <v>Michoacán</v>
      </c>
      <c r="G41">
        <v>403</v>
      </c>
      <c r="H41">
        <v>14</v>
      </c>
      <c r="I41">
        <v>54</v>
      </c>
      <c r="J41" t="str">
        <v>NA</v>
      </c>
      <c r="K41" s="2">
        <v>42258</v>
      </c>
      <c r="L41" s="2">
        <v>42281</v>
      </c>
      <c r="M41">
        <v>3</v>
      </c>
      <c r="N41" s="3">
        <f>+L41-K41</f>
        <v>23</v>
      </c>
      <c r="P41" s="2">
        <v>42283</v>
      </c>
      <c r="Q41" s="3">
        <f>+P41-K41</f>
        <v>25</v>
      </c>
      <c r="R41" s="2">
        <v>42286</v>
      </c>
      <c r="S41" t="str">
        <f>IF(I41&gt;70, "Accepted", "Rejected")</f>
        <v>Rejected</v>
      </c>
      <c r="T41" s="2">
        <v>42287</v>
      </c>
      <c r="U41" t="str">
        <v>NA</v>
      </c>
      <c r="V41" t="str">
        <v>NA</v>
      </c>
      <c r="Y41" t="str">
        <v>Rechazo Buró</v>
      </c>
      <c r="AA41" t="str">
        <v xml:space="preserve">15-sep error de captura. 25-sep error de captura. 10-oct Rechazo Buró. </v>
      </c>
    </row>
    <row r="42">
      <c r="A42">
        <v>38</v>
      </c>
      <c r="B42">
        <v>367589</v>
      </c>
      <c r="C42">
        <f>+RANDBETWEEN(19,60)</f>
        <v>36</v>
      </c>
      <c r="D42" t="str">
        <v>single</v>
      </c>
      <c r="E42" t="str">
        <v>female</v>
      </c>
      <c r="F42" t="str">
        <v>Nuevo León</v>
      </c>
      <c r="G42">
        <v>406</v>
      </c>
      <c r="H42">
        <v>6</v>
      </c>
      <c r="I42">
        <v>79</v>
      </c>
      <c r="J42">
        <f>+RANDBETWEEN(9,30)</f>
        <v>22</v>
      </c>
      <c r="K42" s="2">
        <v>42241</v>
      </c>
      <c r="L42" s="2">
        <v>42246</v>
      </c>
      <c r="M42">
        <v>2</v>
      </c>
      <c r="N42" s="3">
        <f>+L42-K42</f>
        <v>5</v>
      </c>
      <c r="P42" s="2">
        <v>42249</v>
      </c>
      <c r="Q42" s="3">
        <f>+P42-K42</f>
        <v>8</v>
      </c>
      <c r="R42" s="2">
        <v>42252</v>
      </c>
      <c r="S42" t="str">
        <f>IF(I42&gt;70, "Accepted", "Rejected")</f>
        <v>Accepted</v>
      </c>
      <c r="T42" s="2">
        <v>42253</v>
      </c>
      <c r="U42" t="str">
        <f>IF(S42="Accepted",IF(J42&gt;20, "Accepted", "Rejected"), "Rejected")</f>
        <v>Accepted</v>
      </c>
      <c r="V42" s="2">
        <v>42253</v>
      </c>
      <c r="W42" s="2">
        <v>42289</v>
      </c>
      <c r="X42" s="3">
        <f>+W42-R42</f>
        <v>37</v>
      </c>
      <c r="Y42" t="str">
        <v>Tarjeta enviada</v>
      </c>
      <c r="Z42" s="4">
        <v>38000</v>
      </c>
      <c r="AA42" t="str">
        <v>27 ago error de captura. 6-sep se autoriza crédito por 38000</v>
      </c>
    </row>
    <row r="43">
      <c r="A43">
        <v>36</v>
      </c>
      <c r="B43">
        <v>367890</v>
      </c>
      <c r="C43">
        <v>33</v>
      </c>
      <c r="D43" t="str">
        <v>married</v>
      </c>
      <c r="E43" t="str">
        <v>male</v>
      </c>
      <c r="F43" t="str">
        <v>San Luis Potosí</v>
      </c>
      <c r="G43">
        <v>415</v>
      </c>
      <c r="H43">
        <v>6</v>
      </c>
      <c r="I43">
        <v>80</v>
      </c>
      <c r="J43">
        <v>28</v>
      </c>
      <c r="K43" s="2">
        <v>42268</v>
      </c>
      <c r="L43" s="2">
        <v>42268</v>
      </c>
      <c r="M43">
        <v>1</v>
      </c>
      <c r="N43" s="3">
        <f>+L43-K43</f>
        <v>0</v>
      </c>
      <c r="P43" s="2">
        <v>42273</v>
      </c>
      <c r="Q43" s="3">
        <f>+P43-K43</f>
        <v>5</v>
      </c>
      <c r="R43" s="2">
        <v>42274</v>
      </c>
      <c r="S43" t="str">
        <f>IF(I43&gt;70, "Accepted", "Rejected")</f>
        <v>Accepted</v>
      </c>
      <c r="T43" s="2">
        <v>42275</v>
      </c>
      <c r="U43" t="str">
        <f>IF(S43="Accepted",IF(J43&gt;20, "Accepted", "Rejected"), "Rejected")</f>
        <v>Accepted</v>
      </c>
      <c r="V43" s="2">
        <v>42275</v>
      </c>
      <c r="W43" s="2">
        <v>42276</v>
      </c>
      <c r="X43" s="3">
        <f>+W43-R43</f>
        <v>2</v>
      </c>
      <c r="Y43" t="str">
        <v>Tarjeta enviada</v>
      </c>
      <c r="Z43" s="4">
        <v>60000</v>
      </c>
      <c r="AA43" t="str">
        <v>29 sep se autoriza crédito por 60000.</v>
      </c>
    </row>
    <row r="44">
      <c r="A44">
        <v>40</v>
      </c>
      <c r="B44">
        <v>374805</v>
      </c>
      <c r="C44">
        <v>52</v>
      </c>
      <c r="D44" t="str">
        <v>married</v>
      </c>
      <c r="E44" t="str">
        <v>male</v>
      </c>
      <c r="F44" t="str">
        <v>Jalisco</v>
      </c>
      <c r="G44">
        <v>428</v>
      </c>
      <c r="H44">
        <v>8</v>
      </c>
      <c r="I44">
        <v>86</v>
      </c>
      <c r="J44">
        <v>26</v>
      </c>
      <c r="K44" s="2">
        <v>42255</v>
      </c>
      <c r="L44" s="2">
        <v>42255</v>
      </c>
      <c r="M44">
        <v>1</v>
      </c>
      <c r="N44" s="3">
        <f>+L44-K44</f>
        <v>0</v>
      </c>
      <c r="P44" s="2">
        <v>42257</v>
      </c>
      <c r="Q44" s="3">
        <f>+P44-K44</f>
        <v>2</v>
      </c>
      <c r="R44" s="2">
        <v>42258</v>
      </c>
      <c r="S44" t="str">
        <f>IF(I44&gt;70, "Accepted", "Rejected")</f>
        <v>Accepted</v>
      </c>
      <c r="T44" s="2">
        <v>42290</v>
      </c>
      <c r="U44" t="str">
        <f>IF(S44="Accepted",IF(J44&gt;20, "Accepted", "Rejected"), "Rejected")</f>
        <v>Accepted</v>
      </c>
      <c r="V44" s="2">
        <v>42290</v>
      </c>
      <c r="W44" s="2">
        <v>42293</v>
      </c>
      <c r="X44" s="3">
        <f>+W44-R44</f>
        <v>35</v>
      </c>
      <c r="Y44" t="str">
        <v>Tarjeta enviada</v>
      </c>
      <c r="Z44" s="4">
        <v>45000</v>
      </c>
      <c r="AA44" t="str">
        <v>13-oct se autoriza crédito por 45000.</v>
      </c>
    </row>
    <row r="45">
      <c r="A45">
        <v>7</v>
      </c>
      <c r="B45">
        <v>378343</v>
      </c>
      <c r="C45">
        <v>58</v>
      </c>
      <c r="D45" t="str">
        <v>married</v>
      </c>
      <c r="E45" t="str">
        <v>female</v>
      </c>
      <c r="F45" t="str">
        <v>Querétaro</v>
      </c>
      <c r="G45">
        <v>431</v>
      </c>
      <c r="H45">
        <v>2</v>
      </c>
      <c r="I45">
        <v>81</v>
      </c>
      <c r="J45">
        <v>29</v>
      </c>
      <c r="K45" s="2">
        <v>42202</v>
      </c>
      <c r="L45" s="2">
        <v>42232</v>
      </c>
      <c r="M45">
        <v>2</v>
      </c>
      <c r="N45" s="3">
        <f>+L45-K45</f>
        <v>30</v>
      </c>
      <c r="P45" s="2">
        <v>42233</v>
      </c>
      <c r="Q45" s="3">
        <f>+P45-K45</f>
        <v>31</v>
      </c>
      <c r="R45" s="2">
        <v>42237</v>
      </c>
      <c r="S45" t="str">
        <f>IF(I45&gt;70, "Accepted", "Rejected")</f>
        <v>Accepted</v>
      </c>
      <c r="T45" s="2">
        <v>42239</v>
      </c>
      <c r="U45" t="str">
        <f>IF(S45="Accepted",IF(J45&gt;20, "Accepted", "Rejected"), "Rejected")</f>
        <v>Accepted</v>
      </c>
      <c r="V45" s="2">
        <v>42239</v>
      </c>
      <c r="W45" s="2">
        <v>42242</v>
      </c>
      <c r="X45" s="3">
        <f>+W45-R45</f>
        <v>5</v>
      </c>
      <c r="Y45" t="str">
        <v>Tarjeta enviada</v>
      </c>
      <c r="Z45" s="4">
        <v>89000</v>
      </c>
      <c r="AA45" t="str">
        <v>23 jul documentación incompleta. 26 ago se autoriza el crédito por 89000.</v>
      </c>
    </row>
    <row r="46">
      <c r="A46">
        <v>35</v>
      </c>
      <c r="B46">
        <v>387543</v>
      </c>
      <c r="C46">
        <v>58</v>
      </c>
      <c r="D46" t="str">
        <v>married</v>
      </c>
      <c r="E46" t="str">
        <v>male</v>
      </c>
      <c r="F46" t="str">
        <v>Querétaro</v>
      </c>
      <c r="G46">
        <v>431</v>
      </c>
      <c r="H46">
        <v>7</v>
      </c>
      <c r="I46">
        <v>74</v>
      </c>
      <c r="J46">
        <v>26</v>
      </c>
      <c r="K46" s="2">
        <v>42279</v>
      </c>
      <c r="L46" s="2">
        <v>42279</v>
      </c>
      <c r="M46">
        <v>1</v>
      </c>
      <c r="N46" s="3">
        <f>+L46-K46</f>
        <v>0</v>
      </c>
      <c r="P46" s="2">
        <v>42286</v>
      </c>
      <c r="Q46" s="3">
        <f>+P46-K46</f>
        <v>7</v>
      </c>
      <c r="R46" s="2">
        <v>42287</v>
      </c>
      <c r="S46" t="str">
        <f>IF(I46&gt;70, "Accepted", "Rejected")</f>
        <v>Accepted</v>
      </c>
      <c r="T46" s="2">
        <v>42289</v>
      </c>
      <c r="U46" t="str">
        <f>IF(S46="Accepted",IF(J46&gt;20, "Accepted", "Rejected"), "Rejected")</f>
        <v>Accepted</v>
      </c>
      <c r="V46" s="2">
        <v>42289</v>
      </c>
      <c r="W46" s="2">
        <v>42293</v>
      </c>
      <c r="X46" s="3">
        <f>+W46-R46</f>
        <v>6</v>
      </c>
      <c r="Y46" t="str">
        <v>Tarjeta enviada</v>
      </c>
      <c r="Z46" s="4">
        <v>95500</v>
      </c>
      <c r="AA46" t="str">
        <v>12 oct se autoriza el crédito por 95500.</v>
      </c>
    </row>
    <row r="47" ht="17" customHeight="1">
      <c r="A47">
        <v>72</v>
      </c>
      <c r="B47">
        <v>402134</v>
      </c>
      <c r="C47">
        <v>55</v>
      </c>
      <c r="D47" t="str">
        <v>single</v>
      </c>
      <c r="E47" t="str">
        <v>male</v>
      </c>
      <c r="F47" t="str">
        <v>Edo Mex</v>
      </c>
      <c r="G47">
        <v>435</v>
      </c>
      <c r="H47">
        <v>6</v>
      </c>
      <c r="I47">
        <v>89</v>
      </c>
      <c r="J47">
        <v>28</v>
      </c>
      <c r="K47" s="2">
        <v>42228</v>
      </c>
      <c r="L47" s="2">
        <v>42250</v>
      </c>
      <c r="M47">
        <v>2</v>
      </c>
      <c r="N47" s="3">
        <f>+L47-K47</f>
        <v>22</v>
      </c>
      <c r="P47" s="2">
        <v>42254</v>
      </c>
      <c r="Q47" s="3">
        <f>+P47-K47</f>
        <v>26</v>
      </c>
      <c r="R47" s="2">
        <v>42255</v>
      </c>
      <c r="S47" t="str">
        <f>IF(I47&gt;70, "Accepted", "Rejected")</f>
        <v>Accepted</v>
      </c>
      <c r="T47" s="2">
        <v>42259</v>
      </c>
      <c r="U47" t="str">
        <f>IF(S47="Accepted",IF(J47&gt;20, "Accepted", "Rejected"), "Rejected")</f>
        <v>Accepted</v>
      </c>
      <c r="V47" s="2">
        <v>42260</v>
      </c>
      <c r="W47" s="2">
        <v>42262</v>
      </c>
      <c r="X47" s="3">
        <f>+W47-R47</f>
        <v>7</v>
      </c>
      <c r="Y47" t="str">
        <v>Tarjeta enviada</v>
      </c>
      <c r="Z47" s="4">
        <v>60200</v>
      </c>
      <c r="AA47" t="str">
        <v>19 ago documentos ilegibles. 15 sep se autoriza el crédito por 60,200</v>
      </c>
    </row>
    <row r="48">
      <c r="A48">
        <v>86</v>
      </c>
      <c r="B48">
        <v>404728</v>
      </c>
      <c r="C48">
        <v>44</v>
      </c>
      <c r="D48" t="str">
        <v>married</v>
      </c>
      <c r="E48" t="str">
        <v>male</v>
      </c>
      <c r="F48" t="str">
        <v>Coahuila</v>
      </c>
      <c r="G48">
        <v>449</v>
      </c>
      <c r="H48">
        <v>6</v>
      </c>
      <c r="I48" t="str">
        <v>NA</v>
      </c>
      <c r="J48" t="str">
        <v>NA</v>
      </c>
      <c r="K48" s="2">
        <v>42302</v>
      </c>
      <c r="L48" s="2">
        <v>42302</v>
      </c>
      <c r="M48">
        <v>1</v>
      </c>
      <c r="N48" s="3">
        <f>+L48-K48</f>
        <v>0</v>
      </c>
      <c r="P48" t="str">
        <v>NA</v>
      </c>
      <c r="Q48" s="3" t="e">
        <f>+P48-K48</f>
        <v>#VALUE!</v>
      </c>
      <c r="R48" t="str">
        <v>NA</v>
      </c>
      <c r="S48" t="str">
        <v>NA</v>
      </c>
      <c r="U48" t="str">
        <v>NA</v>
      </c>
      <c r="Y48" t="str">
        <v>Documentos recibidos</v>
      </c>
    </row>
    <row r="49">
      <c r="A49">
        <v>93</v>
      </c>
      <c r="B49">
        <v>409873</v>
      </c>
      <c r="C49">
        <v>25</v>
      </c>
      <c r="D49" t="str">
        <v>single</v>
      </c>
      <c r="E49" t="str">
        <v>male</v>
      </c>
      <c r="F49" t="str">
        <v>Coahuila</v>
      </c>
      <c r="G49">
        <v>449</v>
      </c>
      <c r="H49">
        <v>3</v>
      </c>
      <c r="I49">
        <v>67</v>
      </c>
      <c r="J49" t="str">
        <v>NA</v>
      </c>
      <c r="K49" s="2">
        <v>42240</v>
      </c>
      <c r="L49" s="2">
        <v>42285</v>
      </c>
      <c r="M49">
        <v>3</v>
      </c>
      <c r="N49" s="3">
        <f>+L49-K49</f>
        <v>45</v>
      </c>
      <c r="P49" s="2">
        <v>42289</v>
      </c>
      <c r="Q49" s="3">
        <f>+P49-K49</f>
        <v>49</v>
      </c>
      <c r="R49" s="2">
        <v>42292</v>
      </c>
      <c r="S49" t="str">
        <f>IF(I49&gt;70, "Accepted", "Rejected")</f>
        <v>Rejected</v>
      </c>
      <c r="T49" s="2">
        <v>42292</v>
      </c>
      <c r="U49" t="str">
        <v>NA</v>
      </c>
      <c r="V49" t="str">
        <v>NA</v>
      </c>
      <c r="Y49" t="str">
        <v>Rechazo Buró</v>
      </c>
      <c r="AA49" t="str">
        <v>24 ago documentación incompleta. 19 sep error de captura. 15 oct Rechazo Buró</v>
      </c>
    </row>
    <row r="50">
      <c r="A50">
        <v>88</v>
      </c>
      <c r="B50">
        <v>423894</v>
      </c>
      <c r="C50">
        <v>29</v>
      </c>
      <c r="D50" t="str">
        <v>single</v>
      </c>
      <c r="E50" t="str">
        <v>female</v>
      </c>
      <c r="F50" t="str">
        <v>Zacatecas</v>
      </c>
      <c r="G50">
        <v>449</v>
      </c>
      <c r="H50">
        <v>1</v>
      </c>
      <c r="I50">
        <v>52</v>
      </c>
      <c r="J50" t="str">
        <v>NA</v>
      </c>
      <c r="K50" s="2">
        <v>42287</v>
      </c>
      <c r="L50" s="2">
        <v>42292</v>
      </c>
      <c r="M50">
        <v>2</v>
      </c>
      <c r="N50" s="3">
        <f>+L50-K50</f>
        <v>5</v>
      </c>
      <c r="P50" s="2">
        <v>42296</v>
      </c>
      <c r="Q50" s="3">
        <f>+P50-K50</f>
        <v>9</v>
      </c>
      <c r="R50" s="2">
        <v>42297</v>
      </c>
      <c r="S50" t="str">
        <f>IF(I50&gt;70, "Accepted", "Rejected")</f>
        <v>Rejected</v>
      </c>
      <c r="T50" s="2">
        <v>42299</v>
      </c>
      <c r="U50" t="str">
        <v>NA</v>
      </c>
      <c r="V50" t="str">
        <v>NA</v>
      </c>
      <c r="Y50" t="str">
        <v>Rechazo Buró</v>
      </c>
      <c r="AA50" t="str">
        <v>15-oct documentos ilegibles. 22 oct Rechazo Buró</v>
      </c>
    </row>
    <row r="51">
      <c r="A51">
        <v>74</v>
      </c>
      <c r="B51">
        <v>440543</v>
      </c>
      <c r="C51">
        <v>31</v>
      </c>
      <c r="D51" t="str">
        <v>single</v>
      </c>
      <c r="E51" t="str">
        <v>female</v>
      </c>
      <c r="F51" t="str">
        <v>Morelos</v>
      </c>
      <c r="G51">
        <v>461</v>
      </c>
      <c r="H51">
        <v>1</v>
      </c>
      <c r="I51">
        <v>69</v>
      </c>
      <c r="J51" t="str">
        <v>NA</v>
      </c>
      <c r="K51" s="2">
        <v>42280</v>
      </c>
      <c r="L51" s="2">
        <v>42280</v>
      </c>
      <c r="M51">
        <v>1</v>
      </c>
      <c r="N51" s="3">
        <f>+L51-K51</f>
        <v>0</v>
      </c>
      <c r="P51" s="2">
        <v>42282</v>
      </c>
      <c r="Q51" s="3">
        <f>+P51-K51</f>
        <v>2</v>
      </c>
      <c r="R51" s="2">
        <v>42283</v>
      </c>
      <c r="S51" t="str">
        <f>IF(I51&gt;70, "Accepted", "Rejected")</f>
        <v>Rejected</v>
      </c>
      <c r="T51" s="2">
        <v>42285</v>
      </c>
      <c r="U51" t="str">
        <v>NA</v>
      </c>
      <c r="V51" s="2" t="str">
        <v>NA</v>
      </c>
      <c r="Y51" t="str">
        <v>Rechazo Buró</v>
      </c>
      <c r="AA51" t="str">
        <v>8 oct Rechazo Buró.</v>
      </c>
    </row>
    <row r="52">
      <c r="A52">
        <v>97</v>
      </c>
      <c r="B52">
        <v>443914</v>
      </c>
      <c r="C52">
        <v>49</v>
      </c>
      <c r="D52" t="str">
        <v>single</v>
      </c>
      <c r="E52" t="str">
        <v>female</v>
      </c>
      <c r="F52" t="str">
        <v>Jalisco</v>
      </c>
      <c r="G52">
        <v>470</v>
      </c>
      <c r="H52">
        <v>2</v>
      </c>
      <c r="I52">
        <v>37</v>
      </c>
      <c r="J52" t="str">
        <v>NA</v>
      </c>
      <c r="K52" s="2">
        <v>42258</v>
      </c>
      <c r="L52" s="2">
        <v>42277</v>
      </c>
      <c r="M52">
        <v>2</v>
      </c>
      <c r="N52" s="3">
        <f>+L52-K52</f>
        <v>19</v>
      </c>
      <c r="P52" s="2">
        <v>42277</v>
      </c>
      <c r="Q52" s="3">
        <f>+P52-K52</f>
        <v>19</v>
      </c>
      <c r="R52" s="2">
        <v>42278</v>
      </c>
      <c r="S52" t="str">
        <f>IF(I52&gt;70, "Accepted", "Rejected")</f>
        <v>Rejected</v>
      </c>
      <c r="T52" s="2">
        <v>42279</v>
      </c>
      <c r="U52" t="str">
        <v>NA</v>
      </c>
      <c r="Y52" t="str">
        <v>Rechazo Buró</v>
      </c>
      <c r="AA52" t="str">
        <v>14 sep documentación incompleta.  2 oct Rechazo Buró</v>
      </c>
    </row>
    <row r="53">
      <c r="A53">
        <v>98</v>
      </c>
      <c r="B53">
        <v>451198</v>
      </c>
      <c r="C53">
        <v>35</v>
      </c>
      <c r="D53" t="str">
        <v>married</v>
      </c>
      <c r="E53" t="str">
        <v>female</v>
      </c>
      <c r="F53" t="str">
        <v>Oaxaca</v>
      </c>
      <c r="G53">
        <v>475</v>
      </c>
      <c r="H53">
        <v>7</v>
      </c>
      <c r="I53">
        <v>74</v>
      </c>
      <c r="J53">
        <v>28</v>
      </c>
      <c r="K53" s="2">
        <v>42250</v>
      </c>
      <c r="L53" s="2">
        <v>42257</v>
      </c>
      <c r="M53">
        <v>2</v>
      </c>
      <c r="N53" s="3">
        <f>+L53-K53</f>
        <v>7</v>
      </c>
      <c r="P53" s="2">
        <v>42258</v>
      </c>
      <c r="Q53" s="3">
        <f>+P53-K53</f>
        <v>8</v>
      </c>
      <c r="R53" s="2">
        <v>42259</v>
      </c>
      <c r="S53" t="str">
        <f>IF(I53&gt;70, "Accepted", "Rejected")</f>
        <v>Accepted</v>
      </c>
      <c r="T53" s="2">
        <v>42261</v>
      </c>
      <c r="U53" t="str">
        <f>IF(S53="Accepted",IF(J53&gt;20, "Accepted", "Rejected"), "Rejected")</f>
        <v>Accepted</v>
      </c>
      <c r="V53" s="2">
        <v>42261</v>
      </c>
      <c r="W53" s="2">
        <v>42265</v>
      </c>
      <c r="X53" s="3">
        <f>+W53-R53</f>
        <v>6</v>
      </c>
      <c r="Y53" t="str">
        <v>Tarjeta enviada</v>
      </c>
      <c r="Z53" s="4">
        <v>36000</v>
      </c>
      <c r="AA53" t="str">
        <v>4 sep documentación no corresponde a folio. 14 sep se autoriza 36,000</v>
      </c>
    </row>
    <row r="54">
      <c r="A54">
        <v>65</v>
      </c>
      <c r="B54">
        <v>452013</v>
      </c>
      <c r="C54">
        <v>41</v>
      </c>
      <c r="D54" t="str">
        <v>married</v>
      </c>
      <c r="E54" t="str">
        <v>female</v>
      </c>
      <c r="F54" t="str">
        <v>D.F.</v>
      </c>
      <c r="G54">
        <v>480</v>
      </c>
      <c r="H54">
        <v>7</v>
      </c>
      <c r="I54">
        <v>74</v>
      </c>
      <c r="J54">
        <v>19</v>
      </c>
      <c r="K54" s="2">
        <v>42261</v>
      </c>
      <c r="L54" s="2">
        <v>42261</v>
      </c>
      <c r="M54">
        <v>1</v>
      </c>
      <c r="N54" s="3">
        <f>+L54-K54</f>
        <v>0</v>
      </c>
      <c r="P54" s="2">
        <v>42267</v>
      </c>
      <c r="Q54" s="3">
        <f>+P54-K54</f>
        <v>6</v>
      </c>
      <c r="R54" s="2">
        <v>42270</v>
      </c>
      <c r="S54" t="str">
        <f>IF(I54&gt;70, "Accepted", "Rejected")</f>
        <v>Accepted</v>
      </c>
      <c r="T54" s="2">
        <v>42271</v>
      </c>
      <c r="U54" t="str">
        <f>IF(S54="Accepted",IF(J54&gt;20, "Accepted", "Rejected"), "Rejected")</f>
        <v>Rejected</v>
      </c>
      <c r="V54" s="2">
        <v>42271</v>
      </c>
      <c r="Y54" t="str">
        <v>Rechazo Score</v>
      </c>
      <c r="AA54" t="str">
        <v>24 sep Rechazo Score.</v>
      </c>
    </row>
    <row r="55">
      <c r="A55">
        <v>103</v>
      </c>
      <c r="B55">
        <v>455893</v>
      </c>
      <c r="C55">
        <v>26</v>
      </c>
      <c r="D55" t="str">
        <v>married</v>
      </c>
      <c r="E55" t="str">
        <v>male</v>
      </c>
      <c r="F55" t="str">
        <v>Sinaloa</v>
      </c>
      <c r="G55">
        <v>488</v>
      </c>
      <c r="H55">
        <v>4</v>
      </c>
      <c r="I55">
        <v>97</v>
      </c>
      <c r="J55">
        <v>24</v>
      </c>
      <c r="K55" s="2">
        <v>42227</v>
      </c>
      <c r="L55" s="2">
        <v>42293</v>
      </c>
      <c r="M55">
        <v>4</v>
      </c>
      <c r="N55" s="3">
        <f>+L55-K55</f>
        <v>66</v>
      </c>
      <c r="P55" s="2">
        <v>42293</v>
      </c>
      <c r="Q55" s="3">
        <f>+P55-K55</f>
        <v>66</v>
      </c>
      <c r="R55" s="2">
        <v>42297</v>
      </c>
      <c r="S55" t="str">
        <f>IF(I55&gt;70, "Accepted", "Rejected")</f>
        <v>Accepted</v>
      </c>
      <c r="T55" s="2">
        <v>42298</v>
      </c>
      <c r="U55" t="str">
        <f>IF(S55="Accepted",IF(J55&gt;20, "Accepted", "Rejected"), "Rejected")</f>
        <v>Accepted</v>
      </c>
      <c r="V55" s="2">
        <v>42298</v>
      </c>
      <c r="W55" s="2">
        <v>42300</v>
      </c>
      <c r="X55" s="3">
        <f>+W55-R55</f>
        <v>3</v>
      </c>
      <c r="Y55" t="str">
        <v>Tarjeta enviada</v>
      </c>
      <c r="Z55" s="4">
        <v>32100</v>
      </c>
      <c r="AA55" t="str">
        <v>11 ago documentación incompleta. 4 sep error de captura. 7 sep error de captura. 21 oct se autoriza el crédito por 32,100</v>
      </c>
    </row>
    <row r="56">
      <c r="A56">
        <v>80</v>
      </c>
      <c r="B56">
        <v>456687</v>
      </c>
      <c r="C56">
        <v>50</v>
      </c>
      <c r="D56" t="str">
        <v>married</v>
      </c>
      <c r="E56" t="str">
        <v>male</v>
      </c>
      <c r="F56" t="str">
        <v>Chiapas</v>
      </c>
      <c r="G56">
        <v>489</v>
      </c>
      <c r="H56">
        <v>20</v>
      </c>
      <c r="I56">
        <v>80</v>
      </c>
      <c r="J56">
        <v>28</v>
      </c>
      <c r="K56" s="2">
        <v>42220</v>
      </c>
      <c r="L56" s="2">
        <v>42296</v>
      </c>
      <c r="M56">
        <v>2</v>
      </c>
      <c r="N56" s="3">
        <f>+L56-K56</f>
        <v>76</v>
      </c>
      <c r="P56" s="2">
        <v>42298</v>
      </c>
      <c r="Q56" s="3">
        <f>+P56-K56</f>
        <v>78</v>
      </c>
      <c r="R56" s="2">
        <v>42301</v>
      </c>
      <c r="S56" t="str">
        <f>IF(I56&gt;70, "Accepted", "Rejected")</f>
        <v>Accepted</v>
      </c>
      <c r="T56" s="2">
        <v>42303</v>
      </c>
      <c r="U56" t="str">
        <f>IF(S56="Accepted",IF(J56&gt;20, "Accepted", "Rejected"), "Rejected")</f>
        <v>Accepted</v>
      </c>
      <c r="V56" s="2">
        <v>42303</v>
      </c>
      <c r="W56" s="2">
        <v>42305</v>
      </c>
      <c r="X56" s="3">
        <f>+W56-R56</f>
        <v>4</v>
      </c>
      <c r="Y56" t="str">
        <v>Tarjeta enviada</v>
      </c>
      <c r="Z56" s="4">
        <v>45300</v>
      </c>
      <c r="AA56" t="str">
        <v>4 ago error de captura. 28 oct se autoriza el crédito por loan</v>
      </c>
    </row>
    <row r="57">
      <c r="A57">
        <v>3</v>
      </c>
      <c r="B57">
        <v>456821</v>
      </c>
      <c r="C57">
        <v>25</v>
      </c>
      <c r="D57" t="str">
        <v>single</v>
      </c>
      <c r="E57" t="str">
        <v>female</v>
      </c>
      <c r="F57" t="str">
        <v>Sinaloa</v>
      </c>
      <c r="G57">
        <v>517</v>
      </c>
      <c r="H57">
        <v>2</v>
      </c>
      <c r="I57">
        <v>73</v>
      </c>
      <c r="J57">
        <v>25</v>
      </c>
      <c r="K57" s="2">
        <v>42283</v>
      </c>
      <c r="L57" s="2">
        <v>42283</v>
      </c>
      <c r="M57">
        <v>1</v>
      </c>
      <c r="N57" s="3">
        <f>+L57-K57</f>
        <v>0</v>
      </c>
      <c r="P57" s="2">
        <v>42285</v>
      </c>
      <c r="Q57" s="3">
        <f>+P57-K57</f>
        <v>2</v>
      </c>
      <c r="R57" s="2">
        <v>42286</v>
      </c>
      <c r="S57" t="str">
        <f>IF(I57&gt;70, "Accepted", "Rejected")</f>
        <v>Accepted</v>
      </c>
      <c r="T57" s="2">
        <v>42286</v>
      </c>
      <c r="U57" t="str">
        <f>IF(S57="Accepted",IF(J57&gt;20, "Accepted", "Rejected"), "Rejected")</f>
        <v>Accepted</v>
      </c>
      <c r="V57" s="2">
        <v>42287</v>
      </c>
      <c r="W57" s="2">
        <v>42292</v>
      </c>
      <c r="X57" s="3">
        <f>+W57-R57</f>
        <v>6</v>
      </c>
      <c r="Y57" t="str">
        <v>Tarjeta enviada</v>
      </c>
      <c r="Z57" s="4">
        <v>37000</v>
      </c>
      <c r="AA57" s="2" t="str">
        <v>10 oct se autoriza crédito por 37,000 pesos.</v>
      </c>
    </row>
    <row r="58">
      <c r="A58">
        <v>22</v>
      </c>
      <c r="B58">
        <v>457021</v>
      </c>
      <c r="C58">
        <v>48</v>
      </c>
      <c r="D58" t="str">
        <v>married</v>
      </c>
      <c r="E58" t="str">
        <v>male</v>
      </c>
      <c r="F58" t="str">
        <v>Quintana Roo</v>
      </c>
      <c r="G58">
        <v>545</v>
      </c>
      <c r="H58">
        <v>6</v>
      </c>
      <c r="I58">
        <v>78</v>
      </c>
      <c r="J58">
        <v>22</v>
      </c>
      <c r="K58" s="2">
        <v>42262</v>
      </c>
      <c r="L58" s="2">
        <v>42285</v>
      </c>
      <c r="M58">
        <v>4</v>
      </c>
      <c r="N58" s="3">
        <f>+L58-K58</f>
        <v>23</v>
      </c>
      <c r="P58" s="2">
        <v>42287</v>
      </c>
      <c r="Q58" s="3">
        <f>+P58-K58</f>
        <v>25</v>
      </c>
      <c r="R58" s="2">
        <v>42289</v>
      </c>
      <c r="S58" t="str">
        <f>IF(I58&gt;70, "Accepted", "Rejected")</f>
        <v>Accepted</v>
      </c>
      <c r="T58" s="2">
        <v>42290</v>
      </c>
      <c r="U58" t="str">
        <f>IF(S58="Accepted",IF(J58&gt;20, "Accepted", "Rejected"), "Rejected")</f>
        <v>Accepted</v>
      </c>
      <c r="V58" s="2">
        <v>42291</v>
      </c>
      <c r="Y58" t="str">
        <v>Aceptado Score</v>
      </c>
      <c r="Z58" s="4">
        <v>12000</v>
      </c>
      <c r="AA58" t="str">
        <v>17 sep error de captura. 23 sep documentación incompleta. 30 sep documentación incompleta. 14 oct se autoriza crédito por 12000.</v>
      </c>
    </row>
    <row r="59">
      <c r="A59">
        <v>71</v>
      </c>
      <c r="B59">
        <v>459821</v>
      </c>
      <c r="C59">
        <v>25</v>
      </c>
      <c r="D59" t="str">
        <v>solero</v>
      </c>
      <c r="E59" t="str">
        <v>female</v>
      </c>
      <c r="F59" t="str">
        <v>Chiapas</v>
      </c>
      <c r="G59">
        <v>556</v>
      </c>
      <c r="H59">
        <v>2</v>
      </c>
      <c r="I59">
        <v>73</v>
      </c>
      <c r="J59">
        <v>25</v>
      </c>
      <c r="K59" s="2">
        <v>42283</v>
      </c>
      <c r="L59" s="2">
        <v>42283</v>
      </c>
      <c r="M59">
        <v>1</v>
      </c>
      <c r="N59" s="3">
        <f>+L59-K59</f>
        <v>0</v>
      </c>
      <c r="P59" s="2">
        <v>42285</v>
      </c>
      <c r="Q59" s="3">
        <f>+P59-K59</f>
        <v>2</v>
      </c>
      <c r="R59" s="2">
        <v>42286</v>
      </c>
      <c r="S59" t="str">
        <f>IF(I59&gt;70, "Accepted", "Rejected")</f>
        <v>Accepted</v>
      </c>
      <c r="T59" s="2">
        <v>42286</v>
      </c>
      <c r="U59" t="str">
        <f>IF(S59="Accepted",IF(J59&gt;20, "Accepted", "Rejected"), "Rejected")</f>
        <v>Accepted</v>
      </c>
      <c r="V59" s="2">
        <v>42287</v>
      </c>
      <c r="W59" s="2">
        <v>42292</v>
      </c>
      <c r="X59" s="3">
        <f>+W59-R59</f>
        <v>6</v>
      </c>
      <c r="Y59" t="str">
        <v>Tarjeta enviada</v>
      </c>
      <c r="Z59" s="4">
        <v>37000</v>
      </c>
      <c r="AA59" s="2" t="str">
        <v>10 oct se autoriza crédito por 37,000 pesos.</v>
      </c>
    </row>
    <row r="60">
      <c r="A60">
        <v>39</v>
      </c>
      <c r="B60">
        <v>468298</v>
      </c>
      <c r="C60">
        <v>29</v>
      </c>
      <c r="D60" t="str">
        <v>married</v>
      </c>
      <c r="E60" t="str">
        <v>male</v>
      </c>
      <c r="F60" t="str">
        <v>San Luis Potosí</v>
      </c>
      <c r="G60">
        <v>556</v>
      </c>
      <c r="H60">
        <v>2</v>
      </c>
      <c r="I60">
        <v>68</v>
      </c>
      <c r="J60" t="str">
        <v>NA</v>
      </c>
      <c r="K60" s="2">
        <v>42266</v>
      </c>
      <c r="L60" s="2">
        <v>42274</v>
      </c>
      <c r="M60">
        <v>2</v>
      </c>
      <c r="N60" s="3">
        <f>+L60-K60</f>
        <v>8</v>
      </c>
      <c r="P60" s="2">
        <v>42275</v>
      </c>
      <c r="Q60" s="3">
        <f>+P60-K60</f>
        <v>9</v>
      </c>
      <c r="R60" s="2">
        <v>42277</v>
      </c>
      <c r="S60" t="str">
        <f>IF(I60&gt;70, "Accepted", "Rejected")</f>
        <v>Rejected</v>
      </c>
      <c r="T60" s="2">
        <v>42279</v>
      </c>
      <c r="U60" t="str">
        <v>NA</v>
      </c>
      <c r="V60" t="str">
        <v>NA</v>
      </c>
      <c r="Y60" t="str">
        <v>Rechazo Buró</v>
      </c>
      <c r="AA60" t="str">
        <v>22 sep documentación ilegible. 2 oct Rechazo Buró.</v>
      </c>
    </row>
    <row r="61">
      <c r="A61">
        <v>85</v>
      </c>
      <c r="B61">
        <v>548780</v>
      </c>
      <c r="C61">
        <v>25</v>
      </c>
      <c r="D61" t="str">
        <v>single</v>
      </c>
      <c r="E61" t="str">
        <v>male</v>
      </c>
      <c r="F61" t="str">
        <v>Edo Mex</v>
      </c>
      <c r="G61">
        <v>589</v>
      </c>
      <c r="H61">
        <v>1</v>
      </c>
      <c r="I61">
        <v>48</v>
      </c>
      <c r="J61" t="str">
        <v>NA</v>
      </c>
      <c r="K61" s="2">
        <v>42253</v>
      </c>
      <c r="L61" s="2">
        <v>42268</v>
      </c>
      <c r="M61">
        <v>2</v>
      </c>
      <c r="N61" s="3">
        <f>+L61-K61</f>
        <v>15</v>
      </c>
      <c r="P61" s="2">
        <v>42270</v>
      </c>
      <c r="Q61" s="3">
        <f>+P61-K61</f>
        <v>17</v>
      </c>
      <c r="R61" s="2">
        <v>42271</v>
      </c>
      <c r="S61" t="str">
        <f>IF(I61&gt;70, "Accepted", "Rejected")</f>
        <v>Rejected</v>
      </c>
      <c r="T61" s="2">
        <v>42272</v>
      </c>
      <c r="U61" t="str">
        <f>IF(S61="Accepted",IF(J61&gt;20, "Accepted", "Rejected"), "Rejected")</f>
        <v>Rejected</v>
      </c>
      <c r="Y61" t="str">
        <v>Rechazo Buró</v>
      </c>
      <c r="AA61" t="str">
        <v>14 sep documentación incompleta. 25 sep Rechazo Buró</v>
      </c>
    </row>
    <row r="62">
      <c r="A62">
        <v>87</v>
      </c>
      <c r="B62">
        <v>551173</v>
      </c>
      <c r="C62">
        <v>25</v>
      </c>
      <c r="D62" t="str">
        <v>married</v>
      </c>
      <c r="E62" t="str">
        <v>female</v>
      </c>
      <c r="F62" t="str">
        <v>D.F.</v>
      </c>
      <c r="G62">
        <v>633</v>
      </c>
      <c r="H62">
        <v>2</v>
      </c>
      <c r="I62">
        <v>92</v>
      </c>
      <c r="J62">
        <v>24</v>
      </c>
      <c r="K62" s="2">
        <v>42248</v>
      </c>
      <c r="L62" s="2">
        <v>42293</v>
      </c>
      <c r="M62">
        <v>2</v>
      </c>
      <c r="N62" s="3">
        <f>+L62-K62</f>
        <v>45</v>
      </c>
      <c r="P62" s="2">
        <v>42294</v>
      </c>
      <c r="Q62" s="3">
        <f>+P62-K62</f>
        <v>46</v>
      </c>
      <c r="R62" s="2">
        <v>42297</v>
      </c>
      <c r="S62" t="str">
        <f>IF(I62&gt;70, "Accepted", "Rejected")</f>
        <v>Accepted</v>
      </c>
      <c r="T62" s="2">
        <v>42298</v>
      </c>
      <c r="U62" t="str">
        <f>IF(S62="Accepted",IF(J62&gt;20, "Accepted", "Rejected"), "Rejected")</f>
        <v>Accepted</v>
      </c>
      <c r="V62" s="2">
        <v>42298</v>
      </c>
      <c r="Y62" t="str">
        <v>Autorizada</v>
      </c>
      <c r="Z62" s="4">
        <v>23050</v>
      </c>
      <c r="AA62" t="str">
        <v>2 sep documentación incompleta. 21-Oct se autoriza 23,050</v>
      </c>
    </row>
    <row r="63">
      <c r="A63">
        <v>29</v>
      </c>
      <c r="B63">
        <v>555421</v>
      </c>
      <c r="C63">
        <v>39</v>
      </c>
      <c r="D63" t="str">
        <v>married</v>
      </c>
      <c r="E63" t="str">
        <v>female</v>
      </c>
      <c r="F63" t="str">
        <v>Edo Mex</v>
      </c>
      <c r="G63">
        <v>637</v>
      </c>
      <c r="H63">
        <v>7</v>
      </c>
      <c r="I63">
        <v>97</v>
      </c>
      <c r="J63">
        <v>27</v>
      </c>
      <c r="K63" s="2">
        <v>42224</v>
      </c>
      <c r="L63" s="2">
        <v>42249</v>
      </c>
      <c r="M63">
        <v>3</v>
      </c>
      <c r="N63" s="3">
        <f>+L63-K63</f>
        <v>25</v>
      </c>
      <c r="P63" s="2">
        <v>42262</v>
      </c>
      <c r="Q63" s="3">
        <f>+P63-K63</f>
        <v>38</v>
      </c>
      <c r="R63" s="2">
        <v>42264</v>
      </c>
      <c r="S63" t="str">
        <f>IF(I63&gt;70, "Accepted", "Rejected")</f>
        <v>Accepted</v>
      </c>
      <c r="T63" s="2">
        <v>42265</v>
      </c>
      <c r="U63" t="str">
        <f>IF(S63="Accepted",IF(J63&gt;20, "Accepted", "Rejected"), "Rejected")</f>
        <v>Accepted</v>
      </c>
      <c r="V63" s="2">
        <v>42265</v>
      </c>
      <c r="W63" s="2">
        <v>42271</v>
      </c>
      <c r="X63" s="3">
        <f>+W63-R63</f>
        <v>7</v>
      </c>
      <c r="Y63" t="str">
        <v>Tarjeta enviada</v>
      </c>
      <c r="Z63" s="4">
        <v>45600</v>
      </c>
      <c r="AA63" t="str">
        <v>10 ago error de captura. 17 ago error de captura. 18 sep se autoriza crédito por 45600.</v>
      </c>
    </row>
    <row r="64">
      <c r="A64">
        <v>46</v>
      </c>
      <c r="B64">
        <v>556879</v>
      </c>
      <c r="C64">
        <v>39</v>
      </c>
      <c r="D64" t="str">
        <v>single</v>
      </c>
      <c r="E64" t="str">
        <v>female</v>
      </c>
      <c r="F64" t="str">
        <v>Edo Mex</v>
      </c>
      <c r="G64">
        <v>637</v>
      </c>
      <c r="H64">
        <v>3</v>
      </c>
      <c r="I64" t="str">
        <v>NA</v>
      </c>
      <c r="J64" t="str">
        <v>NA</v>
      </c>
      <c r="K64" s="2">
        <v>42288</v>
      </c>
      <c r="L64" s="2">
        <v>42288</v>
      </c>
      <c r="M64">
        <v>1</v>
      </c>
      <c r="N64" s="3">
        <f>+L64-K64</f>
        <v>0</v>
      </c>
      <c r="P64" s="2">
        <v>42290</v>
      </c>
      <c r="Q64" s="3">
        <f>+P64-K64</f>
        <v>2</v>
      </c>
      <c r="R64" s="2">
        <v>42294</v>
      </c>
      <c r="S64" t="str">
        <v>NA</v>
      </c>
      <c r="U64" t="str">
        <v>NA</v>
      </c>
      <c r="V64" t="str">
        <v>NA</v>
      </c>
      <c r="Y64" t="str">
        <v>Documentos recibidos</v>
      </c>
      <c r="AA64" t="str">
        <v>17-oct error de captura.</v>
      </c>
    </row>
    <row r="65">
      <c r="A65">
        <v>5</v>
      </c>
      <c r="B65">
        <v>562320</v>
      </c>
      <c r="C65">
        <v>38</v>
      </c>
      <c r="D65" t="str">
        <v>single</v>
      </c>
      <c r="E65" t="str">
        <v>female</v>
      </c>
      <c r="F65" t="str">
        <v>Edo Mex</v>
      </c>
      <c r="G65">
        <v>637</v>
      </c>
      <c r="H65">
        <v>4</v>
      </c>
      <c r="I65">
        <v>54</v>
      </c>
      <c r="J65" t="str">
        <v>NA</v>
      </c>
      <c r="K65" s="2">
        <v>42196</v>
      </c>
      <c r="L65" s="2">
        <v>42250</v>
      </c>
      <c r="M65">
        <v>3</v>
      </c>
      <c r="N65" s="3">
        <f>+L65-K65</f>
        <v>54</v>
      </c>
      <c r="P65" s="2">
        <v>42252</v>
      </c>
      <c r="Q65" s="3">
        <f>+P65-K65</f>
        <v>56</v>
      </c>
      <c r="R65" s="2">
        <v>42254</v>
      </c>
      <c r="S65" t="str">
        <f>IF(I65&gt;70, "Accepted", "Rejected")</f>
        <v>Rejected</v>
      </c>
      <c r="T65" s="2">
        <v>42256</v>
      </c>
      <c r="U65" t="str">
        <v>NA</v>
      </c>
      <c r="V65" t="str">
        <v>NA</v>
      </c>
      <c r="Y65" t="str">
        <v>Rechazo Buró</v>
      </c>
      <c r="AA65" t="str">
        <v xml:space="preserve">17 jul documentación ilegible. 23 jul error de captura. 9 sep Rechazo Buró. </v>
      </c>
    </row>
    <row r="66">
      <c r="A66">
        <v>61</v>
      </c>
      <c r="B66">
        <v>579302</v>
      </c>
      <c r="C66">
        <v>37</v>
      </c>
      <c r="D66" t="str">
        <v>single</v>
      </c>
      <c r="E66" t="str">
        <v>male</v>
      </c>
      <c r="F66" t="str">
        <v>Edo Mex</v>
      </c>
      <c r="G66">
        <v>637</v>
      </c>
      <c r="H66">
        <v>7</v>
      </c>
      <c r="I66">
        <v>93</v>
      </c>
      <c r="J66">
        <v>29</v>
      </c>
      <c r="K66" s="2">
        <v>42264</v>
      </c>
      <c r="L66" s="2">
        <v>42269</v>
      </c>
      <c r="M66">
        <v>2</v>
      </c>
      <c r="N66" s="3">
        <f>+L66-K66</f>
        <v>5</v>
      </c>
      <c r="P66" s="2">
        <v>42293</v>
      </c>
      <c r="Q66" s="3">
        <f>+P66-K66</f>
        <v>29</v>
      </c>
      <c r="R66" s="2">
        <v>42296</v>
      </c>
      <c r="S66" t="str">
        <f>IF(I66&gt;70, "Accepted", "Rejected")</f>
        <v>Accepted</v>
      </c>
      <c r="T66" s="2">
        <v>42302</v>
      </c>
      <c r="U66" t="str">
        <f>IF(S66="Accepted",IF(J66&gt;20, "Accepted", "Rejected"), "Rejected")</f>
        <v>Accepted</v>
      </c>
      <c r="V66" s="2">
        <v>42304</v>
      </c>
      <c r="W66" s="2">
        <v>42306</v>
      </c>
      <c r="X66" s="3">
        <f>+W66-R66</f>
        <v>10</v>
      </c>
      <c r="Y66" t="str">
        <v>Tarjeta enviada</v>
      </c>
      <c r="Z66" s="4">
        <v>53900</v>
      </c>
      <c r="AA66" t="str">
        <v>19-sep error de captura. 27-oct se autoriza el crédito por 53900.</v>
      </c>
    </row>
    <row r="67">
      <c r="A67">
        <v>28</v>
      </c>
      <c r="B67">
        <v>588863</v>
      </c>
      <c r="C67">
        <v>39</v>
      </c>
      <c r="D67" t="str">
        <v>married</v>
      </c>
      <c r="E67" t="str">
        <v>male</v>
      </c>
      <c r="F67" t="str">
        <v>Tlaxcala</v>
      </c>
      <c r="G67">
        <v>644</v>
      </c>
      <c r="H67">
        <v>2</v>
      </c>
      <c r="I67" t="str">
        <v>NA</v>
      </c>
      <c r="J67" t="str">
        <v>NA</v>
      </c>
      <c r="K67" s="2">
        <v>42286</v>
      </c>
      <c r="L67" s="2">
        <v>42286</v>
      </c>
      <c r="M67">
        <v>1</v>
      </c>
      <c r="N67" s="3">
        <f>+L67-K67</f>
        <v>0</v>
      </c>
      <c r="P67" t="str">
        <v>NA</v>
      </c>
      <c r="Q67" s="3" t="e">
        <f>+P67-K67</f>
        <v>#VALUE!</v>
      </c>
      <c r="S67" t="str">
        <v>NA</v>
      </c>
      <c r="U67" t="str">
        <v>NA</v>
      </c>
      <c r="X67" s="3">
        <f>+W67-R67</f>
        <v>0</v>
      </c>
      <c r="Y67" t="str">
        <v>Tarea Ejecutivo Sucursal</v>
      </c>
    </row>
    <row r="68">
      <c r="A68">
        <v>100</v>
      </c>
      <c r="B68">
        <v>590954</v>
      </c>
      <c r="C68">
        <v>40</v>
      </c>
      <c r="D68" t="str">
        <v>single</v>
      </c>
      <c r="E68" t="str">
        <v>male</v>
      </c>
      <c r="F68" t="str">
        <v>Michoacán</v>
      </c>
      <c r="G68">
        <v>699</v>
      </c>
      <c r="H68">
        <v>2</v>
      </c>
      <c r="I68">
        <v>87</v>
      </c>
      <c r="J68">
        <v>19</v>
      </c>
      <c r="K68" s="2">
        <v>42286</v>
      </c>
      <c r="L68" s="2">
        <v>42286</v>
      </c>
      <c r="M68">
        <v>1</v>
      </c>
      <c r="N68" s="3">
        <f>+L68-K68</f>
        <v>0</v>
      </c>
      <c r="P68" s="2">
        <v>42288</v>
      </c>
      <c r="Q68" s="3">
        <f>+P68-K68</f>
        <v>2</v>
      </c>
      <c r="R68" s="2">
        <v>42289</v>
      </c>
      <c r="S68" t="str">
        <f>IF(I68&gt;70, "Accepted", "Rejected")</f>
        <v>Accepted</v>
      </c>
      <c r="T68" s="2">
        <v>42291</v>
      </c>
      <c r="U68" t="str">
        <f>IF(S68="Accepted",IF(J68&gt;20, "Accepted", "Rejected"), "Rejected")</f>
        <v>Rejected</v>
      </c>
      <c r="V68" s="2">
        <v>42291</v>
      </c>
      <c r="Y68" t="str">
        <v>Rechazo Score</v>
      </c>
      <c r="AA68" t="str">
        <v>14 oct Rechazo Score</v>
      </c>
    </row>
    <row r="69" ht="17" customHeight="1">
      <c r="A69">
        <v>77</v>
      </c>
      <c r="B69">
        <v>592169</v>
      </c>
      <c r="C69">
        <v>50</v>
      </c>
      <c r="D69" t="str">
        <v>single</v>
      </c>
      <c r="E69" t="str">
        <v>male</v>
      </c>
      <c r="F69" t="str">
        <v>Michoacán</v>
      </c>
      <c r="G69">
        <v>699</v>
      </c>
      <c r="H69">
        <v>7</v>
      </c>
      <c r="I69">
        <v>62</v>
      </c>
      <c r="J69" t="str">
        <v>NA</v>
      </c>
      <c r="K69" s="2">
        <v>42166</v>
      </c>
      <c r="L69" s="2">
        <v>42273</v>
      </c>
      <c r="M69">
        <v>4</v>
      </c>
      <c r="N69" s="3">
        <f>+L69-K69</f>
        <v>107</v>
      </c>
      <c r="P69" s="2">
        <v>42275</v>
      </c>
      <c r="Q69" s="3">
        <f>+P69-K69</f>
        <v>109</v>
      </c>
      <c r="R69" s="2">
        <v>42278</v>
      </c>
      <c r="S69" t="str">
        <f>IF(I69&gt;70, "Accepted", "Rejected")</f>
        <v>Rejected</v>
      </c>
      <c r="T69" s="2">
        <v>42280</v>
      </c>
      <c r="U69" t="str">
        <v>NA</v>
      </c>
      <c r="V69" s="2" t="str">
        <v>na</v>
      </c>
      <c r="Y69" t="str">
        <v>Rechazo Buró</v>
      </c>
      <c r="AA69" t="str">
        <v>12 jun documentación incompleta. 20 jul documentación. 2 ago error de captura. 03 oct Rechazo Buró</v>
      </c>
    </row>
    <row r="70">
      <c r="A70">
        <v>41</v>
      </c>
      <c r="B70">
        <v>593845</v>
      </c>
      <c r="C70">
        <v>39</v>
      </c>
      <c r="D70" t="str">
        <v>married</v>
      </c>
      <c r="E70" t="str">
        <v>male</v>
      </c>
      <c r="F70" t="str">
        <v>Nuevo León</v>
      </c>
      <c r="G70">
        <v>729</v>
      </c>
      <c r="H70">
        <v>5</v>
      </c>
      <c r="I70">
        <v>95</v>
      </c>
      <c r="J70">
        <v>28</v>
      </c>
      <c r="K70" s="2">
        <v>42227</v>
      </c>
      <c r="L70" s="2">
        <v>42267</v>
      </c>
      <c r="M70">
        <v>2</v>
      </c>
      <c r="N70" s="3">
        <f>+L70-K70</f>
        <v>40</v>
      </c>
      <c r="P70" s="2">
        <v>42269</v>
      </c>
      <c r="Q70" s="3">
        <f>+P70-K70</f>
        <v>42</v>
      </c>
      <c r="R70" s="2">
        <v>42271</v>
      </c>
      <c r="S70" t="str">
        <f>IF(I70&gt;70, "Accepted", "Rejected")</f>
        <v>Accepted</v>
      </c>
      <c r="T70" s="2">
        <v>42274</v>
      </c>
      <c r="U70" t="str">
        <f>IF(S70="Accepted",IF(J70&gt;20, "Accepted", "Rejected"), "Rejected")</f>
        <v>Accepted</v>
      </c>
      <c r="V70" s="2">
        <v>42274</v>
      </c>
      <c r="W70" s="2">
        <v>42278</v>
      </c>
      <c r="X70" s="3">
        <f>+W70-R70</f>
        <v>7</v>
      </c>
      <c r="Y70" t="str">
        <v>Tarjeta enviada</v>
      </c>
      <c r="Z70" s="4">
        <v>51000</v>
      </c>
      <c r="AA70" t="str">
        <v>13-ago error de captura. 27-sep se autoriza crédito por 51000.</v>
      </c>
    </row>
    <row r="71">
      <c r="A71">
        <v>42</v>
      </c>
      <c r="B71">
        <v>597623</v>
      </c>
      <c r="C71">
        <v>45</v>
      </c>
      <c r="D71" t="str">
        <v>single</v>
      </c>
      <c r="E71" t="str">
        <v>male</v>
      </c>
      <c r="F71" t="str">
        <v>Nuevo León</v>
      </c>
      <c r="G71">
        <v>729</v>
      </c>
      <c r="H71">
        <v>7</v>
      </c>
      <c r="I71">
        <v>55</v>
      </c>
      <c r="J71" t="str">
        <v>NA</v>
      </c>
      <c r="K71" s="2">
        <v>42248</v>
      </c>
      <c r="L71" s="2">
        <v>42253</v>
      </c>
      <c r="M71">
        <v>2</v>
      </c>
      <c r="N71" s="3">
        <f>+L71-K71</f>
        <v>5</v>
      </c>
      <c r="P71" s="2">
        <v>42255</v>
      </c>
      <c r="Q71" s="3">
        <f>+P71-K71</f>
        <v>7</v>
      </c>
      <c r="R71" s="2">
        <v>42260</v>
      </c>
      <c r="S71" t="str">
        <f>IF(I71&gt;70, "Accepted", "Rejected")</f>
        <v>Rejected</v>
      </c>
      <c r="T71" s="2">
        <v>42261</v>
      </c>
      <c r="U71" t="str">
        <v>NA</v>
      </c>
      <c r="V71" s="2" t="str">
        <v>NA</v>
      </c>
      <c r="Y71" t="str">
        <v>Rechazo Buró</v>
      </c>
      <c r="AA71" t="str">
        <v>3-sep error de captura. 14-sep Rechazo Buró.</v>
      </c>
    </row>
    <row r="72">
      <c r="A72">
        <v>95</v>
      </c>
      <c r="B72">
        <v>612693</v>
      </c>
      <c r="C72">
        <v>25</v>
      </c>
      <c r="D72" t="str">
        <v>married</v>
      </c>
      <c r="E72" t="str">
        <v>female</v>
      </c>
      <c r="F72" t="str">
        <v>Nuevo León</v>
      </c>
      <c r="G72">
        <v>729</v>
      </c>
      <c r="H72">
        <v>9</v>
      </c>
      <c r="I72">
        <v>74</v>
      </c>
      <c r="J72">
        <v>21</v>
      </c>
      <c r="K72" s="2">
        <v>42258</v>
      </c>
      <c r="L72" s="2">
        <v>42278</v>
      </c>
      <c r="M72">
        <v>2</v>
      </c>
      <c r="N72" s="3">
        <f>+L72-K72</f>
        <v>20</v>
      </c>
      <c r="P72" s="2">
        <v>42280</v>
      </c>
      <c r="Q72" s="3">
        <f>+P72-K72</f>
        <v>22</v>
      </c>
      <c r="R72" s="2">
        <v>42284</v>
      </c>
      <c r="S72" t="str">
        <f>IF(I72&gt;70, "Accepted", "Rejected")</f>
        <v>Accepted</v>
      </c>
      <c r="T72" s="2">
        <v>42286</v>
      </c>
      <c r="U72" t="str">
        <f>IF(S72="Accepted",IF(J72&gt;20, "Accepted", "Rejected"), "Rejected")</f>
        <v>Accepted</v>
      </c>
      <c r="V72" s="2">
        <v>42286</v>
      </c>
      <c r="Y72" t="str">
        <v>Aceptado Score</v>
      </c>
      <c r="Z72" s="4">
        <v>23700</v>
      </c>
      <c r="AA72" t="str">
        <v>18 sep error de captura.  9 oct Aprobación por 23,700</v>
      </c>
    </row>
    <row r="73">
      <c r="A73">
        <v>82</v>
      </c>
      <c r="B73">
        <v>613069</v>
      </c>
      <c r="C73">
        <v>35</v>
      </c>
      <c r="D73" t="str">
        <v>married</v>
      </c>
      <c r="E73" t="str">
        <v>female</v>
      </c>
      <c r="F73" t="str">
        <v>Nuevo León</v>
      </c>
      <c r="G73">
        <v>729</v>
      </c>
      <c r="H73">
        <v>1</v>
      </c>
      <c r="I73" t="str">
        <v>NA</v>
      </c>
      <c r="J73" t="str">
        <v>NA</v>
      </c>
      <c r="K73" s="2">
        <v>42280</v>
      </c>
      <c r="L73" s="2">
        <v>42280</v>
      </c>
      <c r="M73">
        <v>1</v>
      </c>
      <c r="N73" s="3">
        <f>+L73-K73</f>
        <v>0</v>
      </c>
      <c r="P73" s="2">
        <v>42281</v>
      </c>
      <c r="Q73" s="3">
        <f>+P73-K73</f>
        <v>1</v>
      </c>
      <c r="R73" s="2">
        <v>42281</v>
      </c>
      <c r="S73" t="str">
        <v>NA</v>
      </c>
      <c r="U73" t="str">
        <v>NA</v>
      </c>
      <c r="Y73" t="str">
        <v>Documentos recibidos</v>
      </c>
      <c r="AA73" t="str">
        <v>04 Oct Documentos ilegibles</v>
      </c>
    </row>
    <row r="74">
      <c r="A74">
        <v>58</v>
      </c>
      <c r="B74">
        <v>614230</v>
      </c>
      <c r="C74">
        <v>33</v>
      </c>
      <c r="D74" t="str">
        <v>married</v>
      </c>
      <c r="E74" t="str">
        <v>male</v>
      </c>
      <c r="F74" t="str">
        <v>Veracruz</v>
      </c>
      <c r="G74">
        <v>733</v>
      </c>
      <c r="H74">
        <v>5</v>
      </c>
      <c r="I74">
        <v>88</v>
      </c>
      <c r="J74">
        <v>24</v>
      </c>
      <c r="K74" s="2">
        <v>42250</v>
      </c>
      <c r="L74" s="2">
        <v>42269</v>
      </c>
      <c r="M74">
        <v>2</v>
      </c>
      <c r="N74" s="3">
        <f>+L74-K74</f>
        <v>19</v>
      </c>
      <c r="P74" s="2">
        <v>42276</v>
      </c>
      <c r="Q74" s="3">
        <f>+P74-K74</f>
        <v>26</v>
      </c>
      <c r="R74" s="2">
        <v>42277</v>
      </c>
      <c r="S74" t="str">
        <f>IF(I74&gt;70, "Accepted", "Rejected")</f>
        <v>Accepted</v>
      </c>
      <c r="T74" s="2">
        <v>42280</v>
      </c>
      <c r="U74" t="str">
        <f>IF(S74="Accepted",IF(J74&gt;20, "Accepted", "Rejected"), "Rejected")</f>
        <v>Accepted</v>
      </c>
      <c r="V74" s="2">
        <v>42282</v>
      </c>
      <c r="W74" s="2">
        <v>42289</v>
      </c>
      <c r="X74" s="3">
        <f>+W74-R74</f>
        <v>12</v>
      </c>
      <c r="Y74" t="str">
        <v>Tarjeta enviada</v>
      </c>
      <c r="Z74" s="4">
        <v>25300</v>
      </c>
      <c r="AA74" t="str">
        <v>07-sep documentación incompleta. 12-oct se autoriza el crédito por 25300.</v>
      </c>
    </row>
    <row r="75">
      <c r="A75">
        <v>81</v>
      </c>
      <c r="B75">
        <v>624735</v>
      </c>
      <c r="C75">
        <v>60</v>
      </c>
      <c r="D75" t="str">
        <v>married</v>
      </c>
      <c r="E75" t="str">
        <v>female</v>
      </c>
      <c r="F75" t="str">
        <v>Yucatán</v>
      </c>
      <c r="G75">
        <v>741</v>
      </c>
      <c r="H75">
        <v>6</v>
      </c>
      <c r="I75">
        <v>58</v>
      </c>
      <c r="J75" t="str">
        <v>NA</v>
      </c>
      <c r="K75" s="2">
        <v>42273</v>
      </c>
      <c r="L75" s="2">
        <v>42273</v>
      </c>
      <c r="M75">
        <v>1</v>
      </c>
      <c r="N75" s="3">
        <f>+L75-K75</f>
        <v>0</v>
      </c>
      <c r="P75" s="2">
        <v>42274</v>
      </c>
      <c r="Q75" s="3">
        <f>+P75-K75</f>
        <v>1</v>
      </c>
      <c r="R75" s="2">
        <v>42276</v>
      </c>
      <c r="S75" t="str">
        <f>IF(I75&gt;70, "Accepted", "Rejected")</f>
        <v>Rejected</v>
      </c>
      <c r="T75" s="2">
        <v>42277</v>
      </c>
      <c r="U75" t="str">
        <f>IF(S75="Accepted",IF(J75&gt;20, "Accepted", "Rejected"), "Rejected")</f>
        <v>Rejected</v>
      </c>
      <c r="Y75" t="str">
        <v>Rechazo Buró</v>
      </c>
      <c r="AA75" t="str">
        <v>30 sep Rechazo Buró</v>
      </c>
    </row>
    <row r="76">
      <c r="A76">
        <v>101</v>
      </c>
      <c r="B76">
        <v>626066</v>
      </c>
      <c r="C76">
        <v>40</v>
      </c>
      <c r="D76" t="str">
        <v>married</v>
      </c>
      <c r="E76" t="str">
        <v>female</v>
      </c>
      <c r="F76" t="str">
        <v>Yucatán</v>
      </c>
      <c r="G76">
        <v>741</v>
      </c>
      <c r="H76">
        <v>5</v>
      </c>
      <c r="I76">
        <v>86</v>
      </c>
      <c r="J76">
        <v>21</v>
      </c>
      <c r="K76" s="2">
        <v>42249</v>
      </c>
      <c r="L76" s="2">
        <v>42267</v>
      </c>
      <c r="M76">
        <v>3</v>
      </c>
      <c r="N76" s="3">
        <f>+L76-K76</f>
        <v>18</v>
      </c>
      <c r="P76" s="2">
        <v>42268</v>
      </c>
      <c r="Q76" s="3">
        <f>+P76-K76</f>
        <v>19</v>
      </c>
      <c r="R76" s="2">
        <v>42277</v>
      </c>
      <c r="S76" t="str">
        <f>IF(I76&gt;70, "Accepted", "Rejected")</f>
        <v>Accepted</v>
      </c>
      <c r="T76" s="2">
        <v>42278</v>
      </c>
      <c r="U76" t="str">
        <f>IF(S76="Accepted",IF(J76&gt;20, "Accepted", "Rejected"), "Rejected")</f>
        <v>Accepted</v>
      </c>
      <c r="V76" s="2">
        <v>42278</v>
      </c>
      <c r="W76" s="2">
        <v>42286</v>
      </c>
      <c r="X76" s="3">
        <f>+W76-R76</f>
        <v>9</v>
      </c>
      <c r="Y76" t="str">
        <v>Tarjeta enviada</v>
      </c>
      <c r="Z76" s="4">
        <v>42000</v>
      </c>
      <c r="AA76" t="str">
        <v>2 sep error de captura. 10 sep identificación no valida. 9 oct se autoriza el crédito por 42,000</v>
      </c>
    </row>
    <row r="77">
      <c r="A77">
        <v>10</v>
      </c>
      <c r="B77">
        <v>632975</v>
      </c>
      <c r="C77">
        <v>27</v>
      </c>
      <c r="D77" t="str">
        <v>single</v>
      </c>
      <c r="E77" t="str">
        <v>male</v>
      </c>
      <c r="F77" t="str">
        <v>Guanajuato</v>
      </c>
      <c r="G77">
        <v>754</v>
      </c>
      <c r="H77">
        <v>3</v>
      </c>
      <c r="I77">
        <v>72</v>
      </c>
      <c r="J77">
        <v>21</v>
      </c>
      <c r="K77" s="2">
        <v>42281</v>
      </c>
      <c r="L77" s="2">
        <v>42281</v>
      </c>
      <c r="M77">
        <v>1</v>
      </c>
      <c r="N77" s="3">
        <f>+L77-K77</f>
        <v>0</v>
      </c>
      <c r="P77" s="2">
        <v>42283</v>
      </c>
      <c r="Q77" s="3">
        <f>+P77-K77</f>
        <v>2</v>
      </c>
      <c r="R77" s="2">
        <v>42286</v>
      </c>
      <c r="S77" t="str">
        <f>IF(I77&gt;70, "Accepted", "Rejected")</f>
        <v>Accepted</v>
      </c>
      <c r="T77" s="2">
        <v>42288</v>
      </c>
      <c r="U77" t="str">
        <f>IF(S77="Accepted",IF(J77&gt;20, "Accepted", "Rejected"), "Rejected")</f>
        <v>Accepted</v>
      </c>
      <c r="V77" s="2">
        <v>42289</v>
      </c>
      <c r="Y77" t="str">
        <v>Autorizada</v>
      </c>
      <c r="Z77" s="4">
        <v>13500</v>
      </c>
      <c r="AA77" t="str">
        <v>12 oct se autoriza el crédito por 13500.</v>
      </c>
    </row>
    <row r="78">
      <c r="A78">
        <v>43</v>
      </c>
      <c r="B78">
        <v>647590</v>
      </c>
      <c r="C78">
        <v>25</v>
      </c>
      <c r="D78" t="str">
        <v>single</v>
      </c>
      <c r="E78" t="str">
        <v>male</v>
      </c>
      <c r="F78" t="str">
        <v>Aguascalientes</v>
      </c>
      <c r="G78">
        <v>756</v>
      </c>
      <c r="H78">
        <v>3</v>
      </c>
      <c r="I78">
        <v>70</v>
      </c>
      <c r="J78" t="str">
        <v>NA</v>
      </c>
      <c r="K78" s="2">
        <v>42271</v>
      </c>
      <c r="L78" s="2">
        <v>42291</v>
      </c>
      <c r="M78">
        <v>3</v>
      </c>
      <c r="N78" s="3">
        <f>+L78-K78</f>
        <v>20</v>
      </c>
      <c r="P78" s="2">
        <v>42291</v>
      </c>
      <c r="Q78" s="3">
        <f>+P78-K78</f>
        <v>20</v>
      </c>
      <c r="R78" s="2">
        <v>42307</v>
      </c>
      <c r="S78" t="str">
        <f>IF(I78&gt;70, "Accepted", "Rejected")</f>
        <v>Rejected</v>
      </c>
      <c r="T78" s="2">
        <v>42308</v>
      </c>
      <c r="U78" t="str">
        <v>NA</v>
      </c>
      <c r="V78" s="2" t="str">
        <v>NA</v>
      </c>
      <c r="Y78" t="str">
        <v>Rechazo Buró</v>
      </c>
      <c r="AA78" t="str">
        <v>28-sep error de captura. 7-oct documentación ilegible. 31-oct Rechazo Buró.</v>
      </c>
    </row>
    <row r="79">
      <c r="A79">
        <v>31</v>
      </c>
      <c r="B79">
        <v>650928</v>
      </c>
      <c r="C79">
        <v>41</v>
      </c>
      <c r="D79" t="str">
        <v>single</v>
      </c>
      <c r="E79" t="str">
        <v>male</v>
      </c>
      <c r="F79" t="str">
        <v>Querétaro</v>
      </c>
      <c r="G79">
        <v>778</v>
      </c>
      <c r="H79">
        <v>4</v>
      </c>
      <c r="I79">
        <v>72</v>
      </c>
      <c r="J79">
        <v>22</v>
      </c>
      <c r="K79" s="2">
        <v>42234</v>
      </c>
      <c r="L79" s="2">
        <v>42274</v>
      </c>
      <c r="M79">
        <v>3</v>
      </c>
      <c r="N79" s="3">
        <f>+L79-K79</f>
        <v>40</v>
      </c>
      <c r="P79" s="2">
        <v>42276</v>
      </c>
      <c r="Q79" s="3">
        <f>+P79-K79</f>
        <v>42</v>
      </c>
      <c r="R79" s="2">
        <v>42282</v>
      </c>
      <c r="S79" t="str">
        <f>IF(I79&gt;70, "Accepted", "Rejected")</f>
        <v>Accepted</v>
      </c>
      <c r="T79" s="2">
        <v>42284</v>
      </c>
      <c r="U79" t="str">
        <f>IF(S79="Accepted",IF(J79&gt;20, "Accepted", "Rejected"), "Rejected")</f>
        <v>Accepted</v>
      </c>
      <c r="V79" s="2">
        <v>42285</v>
      </c>
      <c r="W79" s="2">
        <v>42289</v>
      </c>
      <c r="X79" s="3">
        <f>+W79-R79</f>
        <v>7</v>
      </c>
      <c r="Y79" t="str">
        <v>Tarjeta enviada</v>
      </c>
      <c r="Z79" s="4">
        <v>37700</v>
      </c>
      <c r="AA79" t="str">
        <v>21 ago error de captura. 17 sep documentación incompleta. 8 oct se autoriza crédito por 37700.</v>
      </c>
    </row>
    <row r="80">
      <c r="A80">
        <v>54</v>
      </c>
      <c r="B80">
        <v>653209</v>
      </c>
      <c r="C80">
        <v>43</v>
      </c>
      <c r="D80" t="str">
        <v>married</v>
      </c>
      <c r="E80" t="str">
        <v>male</v>
      </c>
      <c r="F80" t="str">
        <v>D.F.</v>
      </c>
      <c r="G80">
        <v>782</v>
      </c>
      <c r="H80">
        <v>9</v>
      </c>
      <c r="I80">
        <v>73</v>
      </c>
      <c r="J80">
        <v>25</v>
      </c>
      <c r="K80" s="2">
        <v>42264</v>
      </c>
      <c r="L80" s="2">
        <v>42264</v>
      </c>
      <c r="M80">
        <v>1</v>
      </c>
      <c r="N80" s="3">
        <f>+L80-K80</f>
        <v>0</v>
      </c>
      <c r="P80" s="2">
        <v>42266</v>
      </c>
      <c r="Q80" s="3">
        <f>+P80-K80</f>
        <v>2</v>
      </c>
      <c r="R80" s="2">
        <v>42268</v>
      </c>
      <c r="S80" t="str">
        <f>IF(I80&gt;70, "Accepted", "Rejected")</f>
        <v>Accepted</v>
      </c>
      <c r="T80" s="2">
        <v>42268</v>
      </c>
      <c r="U80" t="str">
        <f>IF(S80="Accepted",IF(J80&gt;20, "Accepted", "Rejected"), "Rejected")</f>
        <v>Accepted</v>
      </c>
      <c r="V80" s="2">
        <v>42286</v>
      </c>
      <c r="W80" s="2">
        <v>42293</v>
      </c>
      <c r="X80" s="3">
        <f>+W80-R80</f>
        <v>25</v>
      </c>
      <c r="Y80" t="str">
        <v>Tarjeta enviada</v>
      </c>
      <c r="Z80" s="4">
        <v>45000</v>
      </c>
      <c r="AA80" s="2" t="str">
        <v>16 oct se autoriza crédito por 45000.</v>
      </c>
    </row>
    <row r="81">
      <c r="A81">
        <v>102</v>
      </c>
      <c r="B81">
        <v>661629</v>
      </c>
      <c r="C81">
        <v>52</v>
      </c>
      <c r="D81" t="str">
        <v>single</v>
      </c>
      <c r="E81" t="str">
        <v>female</v>
      </c>
      <c r="F81" t="str">
        <v>Edo Mex</v>
      </c>
      <c r="G81">
        <v>815</v>
      </c>
      <c r="H81">
        <v>10</v>
      </c>
      <c r="I81" t="str">
        <v>NA</v>
      </c>
      <c r="J81" t="str">
        <v>NA</v>
      </c>
      <c r="K81" s="2">
        <v>42292</v>
      </c>
      <c r="L81" s="2">
        <v>42292</v>
      </c>
      <c r="M81">
        <v>1</v>
      </c>
      <c r="N81" s="3">
        <f>+L81-K81</f>
        <v>0</v>
      </c>
      <c r="P81" s="2">
        <v>42293</v>
      </c>
      <c r="Q81" s="3">
        <f>+P81-K81</f>
        <v>1</v>
      </c>
      <c r="R81" s="2">
        <v>42294</v>
      </c>
      <c r="S81" t="str">
        <v>NA</v>
      </c>
      <c r="U81" t="str">
        <v>NA</v>
      </c>
      <c r="AA81" t="str">
        <v>17 oct Documentos ilegibles</v>
      </c>
    </row>
    <row r="82">
      <c r="A82">
        <v>83</v>
      </c>
      <c r="B82">
        <v>728947</v>
      </c>
      <c r="C82">
        <v>37</v>
      </c>
      <c r="D82" t="str">
        <v>married</v>
      </c>
      <c r="E82" t="str">
        <v>male</v>
      </c>
      <c r="F82" t="str">
        <v>Edo Mex</v>
      </c>
      <c r="G82">
        <v>815</v>
      </c>
      <c r="H82">
        <v>13</v>
      </c>
      <c r="I82">
        <v>71</v>
      </c>
      <c r="J82">
        <v>18</v>
      </c>
      <c r="K82" s="2">
        <v>42233</v>
      </c>
      <c r="L82" s="2">
        <v>42291</v>
      </c>
      <c r="M82">
        <v>3</v>
      </c>
      <c r="N82" s="3">
        <f>+L82-K82</f>
        <v>58</v>
      </c>
      <c r="P82" s="2">
        <v>42296</v>
      </c>
      <c r="Q82" s="3">
        <f>+P82-K82</f>
        <v>63</v>
      </c>
      <c r="R82" s="2">
        <v>42297</v>
      </c>
      <c r="S82" t="str">
        <f>IF(I82&gt;70, "Accepted", "Rejected")</f>
        <v>Accepted</v>
      </c>
      <c r="T82" s="2">
        <v>42298</v>
      </c>
      <c r="U82" t="str">
        <f>IF(S82="Accepted",IF(J82&gt;20, "Accepted", "Rejected"), "Rejected")</f>
        <v>Rejected</v>
      </c>
      <c r="V82" s="2">
        <v>42298</v>
      </c>
      <c r="Y82" t="str">
        <v>Rechazo Score</v>
      </c>
      <c r="AA82" t="str">
        <v>17 ago error de captura. 26 jun documentos incompletos. 21 oct Rechazo Buró</v>
      </c>
    </row>
    <row r="83">
      <c r="A83">
        <v>55</v>
      </c>
      <c r="B83">
        <v>736520</v>
      </c>
      <c r="C83">
        <v>45</v>
      </c>
      <c r="D83" t="str">
        <v>married</v>
      </c>
      <c r="E83" t="str">
        <v>female</v>
      </c>
      <c r="F83" t="str">
        <v>Edo Mex</v>
      </c>
      <c r="G83">
        <v>815</v>
      </c>
      <c r="H83">
        <v>11</v>
      </c>
      <c r="I83">
        <v>96</v>
      </c>
      <c r="J83">
        <v>25</v>
      </c>
      <c r="K83" s="2">
        <v>42244</v>
      </c>
      <c r="L83" s="2">
        <v>42253</v>
      </c>
      <c r="M83">
        <v>2</v>
      </c>
      <c r="N83" s="3">
        <f>+L83-K83</f>
        <v>9</v>
      </c>
      <c r="P83" s="2">
        <v>42264</v>
      </c>
      <c r="Q83" s="3">
        <f>+P83-K83</f>
        <v>20</v>
      </c>
      <c r="R83" s="2">
        <v>42266</v>
      </c>
      <c r="S83" t="str">
        <f>IF(I83&gt;70, "Accepted", "Rejected")</f>
        <v>Accepted</v>
      </c>
      <c r="T83" s="2">
        <v>42267</v>
      </c>
      <c r="U83" t="str">
        <f>IF(S83="Accepted",IF(J83&gt;20, "Accepted", "Rejected"), "Rejected")</f>
        <v>Accepted</v>
      </c>
      <c r="V83" s="2">
        <v>42270</v>
      </c>
      <c r="W83" s="2">
        <v>42274</v>
      </c>
      <c r="X83" s="3">
        <f>+W83-R83</f>
        <v>8</v>
      </c>
      <c r="Y83" t="str">
        <v>Tarjeta enviada</v>
      </c>
      <c r="Z83" s="4">
        <v>78500</v>
      </c>
      <c r="AA83" t="str">
        <v>29-ago documentación ilegible. 27-sep se autoriza el crédito por 78500.</v>
      </c>
    </row>
    <row r="84" ht="17" customHeight="1">
      <c r="A84">
        <v>75</v>
      </c>
      <c r="B84">
        <v>763152</v>
      </c>
      <c r="C84">
        <v>21</v>
      </c>
      <c r="D84" t="str">
        <v>single</v>
      </c>
      <c r="E84" t="str">
        <v>female</v>
      </c>
      <c r="F84" t="str">
        <v>Nuevo León</v>
      </c>
      <c r="G84">
        <v>822</v>
      </c>
      <c r="H84">
        <v>2</v>
      </c>
      <c r="I84">
        <v>87</v>
      </c>
      <c r="J84">
        <v>23</v>
      </c>
      <c r="K84" s="2">
        <v>42270</v>
      </c>
      <c r="L84" s="2">
        <v>42277</v>
      </c>
      <c r="M84">
        <v>2</v>
      </c>
      <c r="N84" s="3">
        <f>+L84-K84</f>
        <v>7</v>
      </c>
      <c r="P84" s="2">
        <v>42279</v>
      </c>
      <c r="Q84" s="3">
        <f>+P84-K84</f>
        <v>9</v>
      </c>
      <c r="R84" s="2">
        <v>42282</v>
      </c>
      <c r="S84" t="str">
        <f>IF(I84&gt;70, "Accepted", "Rejected")</f>
        <v>Accepted</v>
      </c>
      <c r="T84" s="2">
        <v>42287</v>
      </c>
      <c r="U84" t="str">
        <f>IF(S84="Accepted",IF(J84&gt;20, "Accepted", "Rejected"), "Rejected")</f>
        <v>Accepted</v>
      </c>
      <c r="V84" s="2">
        <v>42287</v>
      </c>
      <c r="W84" s="2">
        <v>42290</v>
      </c>
      <c r="X84" s="3">
        <f>+W84-R84</f>
        <v>8</v>
      </c>
      <c r="Y84" t="str">
        <v>Tarjeta enviada</v>
      </c>
      <c r="Z84" s="4">
        <v>26000</v>
      </c>
      <c r="AA84" t="str">
        <v>24 sep error de captura. 13 oct se autoriza el crédito por 26600.</v>
      </c>
    </row>
    <row r="85">
      <c r="A85">
        <v>19</v>
      </c>
      <c r="B85">
        <v>777421</v>
      </c>
      <c r="C85">
        <v>26</v>
      </c>
      <c r="D85" t="str">
        <v>married</v>
      </c>
      <c r="E85" t="str">
        <v>male</v>
      </c>
      <c r="F85" t="str">
        <v>Nuevo León</v>
      </c>
      <c r="G85">
        <v>822</v>
      </c>
      <c r="H85">
        <v>1</v>
      </c>
      <c r="I85">
        <v>95</v>
      </c>
      <c r="J85">
        <v>28</v>
      </c>
      <c r="K85" s="2">
        <v>42265</v>
      </c>
      <c r="L85" s="2">
        <v>42265</v>
      </c>
      <c r="M85">
        <v>1</v>
      </c>
      <c r="N85" s="3">
        <f>+L85-K85</f>
        <v>0</v>
      </c>
      <c r="P85" s="2">
        <v>42270</v>
      </c>
      <c r="Q85" s="3">
        <f>+P85-K85</f>
        <v>5</v>
      </c>
      <c r="R85" s="2">
        <v>42274</v>
      </c>
      <c r="S85" t="str">
        <f>IF(I85&gt;70, "Accepted", "Rejected")</f>
        <v>Accepted</v>
      </c>
      <c r="T85" s="2">
        <v>42276</v>
      </c>
      <c r="U85" t="str">
        <f>IF(S85="Accepted",IF(J85&gt;20, "Accepted", "Rejected"), "Rejected")</f>
        <v>Accepted</v>
      </c>
      <c r="V85" s="2">
        <v>42276</v>
      </c>
      <c r="W85" s="2">
        <v>42280</v>
      </c>
      <c r="X85" s="3">
        <f>+W85-R85</f>
        <v>6</v>
      </c>
      <c r="Y85" t="str">
        <v>Tarjeta enviada</v>
      </c>
      <c r="Z85" s="4">
        <v>102600</v>
      </c>
      <c r="AA85" t="str">
        <v>29 sep se autoriza el crédito por 102600</v>
      </c>
    </row>
    <row r="86">
      <c r="A86">
        <v>8</v>
      </c>
      <c r="B86">
        <v>786582</v>
      </c>
      <c r="C86">
        <v>28</v>
      </c>
      <c r="D86" t="str">
        <v>single</v>
      </c>
      <c r="E86" t="str">
        <v>male</v>
      </c>
      <c r="F86" t="str">
        <v>Nuevo León</v>
      </c>
      <c r="G86">
        <v>822</v>
      </c>
      <c r="H86">
        <v>4</v>
      </c>
      <c r="I86" t="str">
        <v>NA</v>
      </c>
      <c r="J86" t="str">
        <v>NA</v>
      </c>
      <c r="K86" s="2">
        <v>42264</v>
      </c>
      <c r="L86" s="2">
        <v>42264</v>
      </c>
      <c r="M86">
        <v>1</v>
      </c>
      <c r="N86" s="3">
        <f>+L86-K86</f>
        <v>0</v>
      </c>
      <c r="P86" s="2">
        <v>42267</v>
      </c>
      <c r="Q86" s="3">
        <f>+P86-K86</f>
        <v>3</v>
      </c>
      <c r="R86" s="2">
        <v>42269</v>
      </c>
      <c r="S86" t="str">
        <v>NA</v>
      </c>
      <c r="U86" t="str">
        <v>NA</v>
      </c>
      <c r="V86" t="str">
        <v>NA</v>
      </c>
      <c r="Y86" t="str">
        <v>Documentos recibidos</v>
      </c>
      <c r="AA86" t="str">
        <v>22 sep error de captura.</v>
      </c>
    </row>
    <row r="87">
      <c r="A87">
        <v>68</v>
      </c>
      <c r="B87">
        <v>789520</v>
      </c>
      <c r="C87">
        <v>47</v>
      </c>
      <c r="D87" t="str">
        <v>married</v>
      </c>
      <c r="E87" t="str">
        <v>male</v>
      </c>
      <c r="F87" t="str">
        <v>Veracruz</v>
      </c>
      <c r="G87">
        <v>832</v>
      </c>
      <c r="H87">
        <v>1</v>
      </c>
      <c r="I87">
        <v>95</v>
      </c>
      <c r="J87">
        <v>28</v>
      </c>
      <c r="K87" s="2">
        <v>42275</v>
      </c>
      <c r="L87" s="2">
        <v>42275</v>
      </c>
      <c r="M87">
        <v>1</v>
      </c>
      <c r="N87" s="3">
        <f>+L87-K87</f>
        <v>0</v>
      </c>
      <c r="P87" s="2">
        <v>42277</v>
      </c>
      <c r="Q87" s="3">
        <f>+P87-K87</f>
        <v>2</v>
      </c>
      <c r="R87" s="2">
        <v>42280</v>
      </c>
      <c r="S87" t="str">
        <f>IF(I87&gt;70, "Accepted", "Rejected")</f>
        <v>Accepted</v>
      </c>
      <c r="T87" s="2">
        <v>42282</v>
      </c>
      <c r="U87" t="str">
        <f>IF(S87="Accepted",IF(J87&gt;20, "Accepted", "Rejected"), "Rejected")</f>
        <v>Accepted</v>
      </c>
      <c r="V87" s="2">
        <v>42284</v>
      </c>
      <c r="W87" s="2">
        <v>42288</v>
      </c>
      <c r="X87" s="3">
        <f>+W87-R87</f>
        <v>8</v>
      </c>
      <c r="Y87" t="str">
        <v>Tarjeta enviada</v>
      </c>
      <c r="Z87" s="4">
        <v>85600</v>
      </c>
      <c r="AA87" t="str">
        <v>11-oct se autoriza el crédito por 85600.</v>
      </c>
    </row>
    <row r="88">
      <c r="A88">
        <v>48</v>
      </c>
      <c r="B88">
        <v>795268</v>
      </c>
      <c r="C88">
        <v>46</v>
      </c>
      <c r="D88" t="str">
        <v>single</v>
      </c>
      <c r="E88" t="str">
        <v>male</v>
      </c>
      <c r="F88" t="str">
        <v>Edo Mex</v>
      </c>
      <c r="G88">
        <v>834</v>
      </c>
      <c r="H88">
        <v>17</v>
      </c>
      <c r="I88">
        <v>85</v>
      </c>
      <c r="J88">
        <v>22</v>
      </c>
      <c r="K88" s="2">
        <v>42234</v>
      </c>
      <c r="L88" s="2">
        <v>42260</v>
      </c>
      <c r="M88">
        <v>3</v>
      </c>
      <c r="N88" s="3">
        <f>+L88-K88</f>
        <v>26</v>
      </c>
      <c r="P88" s="2">
        <v>42264</v>
      </c>
      <c r="Q88" s="3">
        <f>+P88-K88</f>
        <v>30</v>
      </c>
      <c r="R88" s="2">
        <v>42266</v>
      </c>
      <c r="S88" t="str">
        <f>IF(I88&gt;70, "Accepted", "Rejected")</f>
        <v>Accepted</v>
      </c>
      <c r="T88" s="2">
        <v>42276</v>
      </c>
      <c r="U88" t="str">
        <f>IF(S88="Accepted",IF(J88&gt;20, "Accepted", "Rejected"), "Rejected")</f>
        <v>Accepted</v>
      </c>
      <c r="V88" s="2">
        <v>42280</v>
      </c>
      <c r="W88" s="2">
        <v>42282</v>
      </c>
      <c r="X88" s="3">
        <f>+W88-R88</f>
        <v>16</v>
      </c>
      <c r="Y88" t="str">
        <v>Tarjeta enviada</v>
      </c>
      <c r="Z88" s="4">
        <v>53500</v>
      </c>
      <c r="AA88" t="str">
        <v>22-ago documentación ilegible. 15-sep documentación incompleta. 3-oct sep se autoriza el crédito por 53500.</v>
      </c>
    </row>
    <row r="89">
      <c r="A89">
        <v>33</v>
      </c>
      <c r="B89">
        <v>807040</v>
      </c>
      <c r="C89">
        <v>75</v>
      </c>
      <c r="D89" t="str">
        <v>married</v>
      </c>
      <c r="E89" t="str">
        <v>male</v>
      </c>
      <c r="F89" t="str">
        <v>Quintana Roo</v>
      </c>
      <c r="G89">
        <v>861</v>
      </c>
      <c r="H89">
        <v>5</v>
      </c>
      <c r="I89">
        <v>71</v>
      </c>
      <c r="J89">
        <v>19</v>
      </c>
      <c r="K89" s="2">
        <v>42207</v>
      </c>
      <c r="L89" s="2">
        <v>42283</v>
      </c>
      <c r="M89">
        <v>5</v>
      </c>
      <c r="N89" s="3">
        <f>+L89-K89</f>
        <v>76</v>
      </c>
      <c r="P89" s="2">
        <v>42287</v>
      </c>
      <c r="Q89" s="3">
        <f>+P89-K89</f>
        <v>80</v>
      </c>
      <c r="R89" s="2">
        <v>42289</v>
      </c>
      <c r="S89" t="str">
        <f>IF(I89&gt;70, "Accepted", "Rejected")</f>
        <v>Accepted</v>
      </c>
      <c r="T89" s="2">
        <v>42290</v>
      </c>
      <c r="U89" t="str">
        <f>IF(S89="Accepted",IF(J89&gt;20, "Accepted", "Rejected"), "Rejected")</f>
        <v>Rejected</v>
      </c>
      <c r="V89" s="2">
        <v>42291</v>
      </c>
      <c r="Y89" t="str">
        <v>Rechazo Score</v>
      </c>
      <c r="AA89" t="str">
        <v>22 jul error de captura. 1 ago error de captura. 21 ago documentación incompleta. 3 sep documentación incompleta. 14 oct Rechazo Score.</v>
      </c>
    </row>
    <row r="90">
      <c r="A90">
        <v>51</v>
      </c>
      <c r="B90">
        <v>857931</v>
      </c>
      <c r="C90">
        <v>30</v>
      </c>
      <c r="D90" t="str">
        <v>single</v>
      </c>
      <c r="E90" t="str">
        <v>female</v>
      </c>
      <c r="F90" t="str">
        <v>Nuevo León</v>
      </c>
      <c r="G90">
        <v>873</v>
      </c>
      <c r="H90">
        <v>4</v>
      </c>
      <c r="I90">
        <v>70</v>
      </c>
      <c r="J90">
        <v>19</v>
      </c>
      <c r="K90" s="2">
        <v>42295</v>
      </c>
      <c r="L90" s="2">
        <v>42300</v>
      </c>
      <c r="M90">
        <v>2</v>
      </c>
      <c r="N90" s="3">
        <f>+L90-K90</f>
        <v>5</v>
      </c>
      <c r="P90" s="2">
        <v>42305</v>
      </c>
      <c r="Q90" s="3">
        <f>+P90-K90</f>
        <v>10</v>
      </c>
      <c r="R90" s="2">
        <v>42311</v>
      </c>
      <c r="S90" t="str">
        <v>Accepted</v>
      </c>
      <c r="T90" s="2">
        <v>42312</v>
      </c>
      <c r="U90" t="str">
        <f>IF(S90="Accepted",IF(J90&gt;20, "Accepted", "Rejected"), "Rejected")</f>
        <v>Rejected</v>
      </c>
      <c r="V90" s="2">
        <v>42312</v>
      </c>
      <c r="Y90" t="str">
        <v>Rechazo Score</v>
      </c>
      <c r="AA90" t="str">
        <v>20-oct error de captura. 4-nov Rechazo Score.</v>
      </c>
    </row>
    <row r="91">
      <c r="A91">
        <v>49</v>
      </c>
      <c r="B91">
        <v>857963</v>
      </c>
      <c r="C91">
        <v>49</v>
      </c>
      <c r="D91" t="str">
        <v>married</v>
      </c>
      <c r="E91" t="str">
        <v>female</v>
      </c>
      <c r="F91" t="str">
        <v>D.F.</v>
      </c>
      <c r="G91">
        <v>897</v>
      </c>
      <c r="H91">
        <v>5</v>
      </c>
      <c r="I91">
        <v>90</v>
      </c>
      <c r="J91">
        <v>29</v>
      </c>
      <c r="K91" s="2">
        <v>42254</v>
      </c>
      <c r="L91" s="2">
        <v>42266</v>
      </c>
      <c r="M91">
        <v>2</v>
      </c>
      <c r="N91" s="3">
        <f>+L91-K91</f>
        <v>12</v>
      </c>
      <c r="P91" s="2">
        <v>42271</v>
      </c>
      <c r="Q91" s="3">
        <f>+P91-K91</f>
        <v>17</v>
      </c>
      <c r="R91" s="2">
        <v>42273</v>
      </c>
      <c r="S91" t="str">
        <f>IF(I91&gt;70, "Accepted", "Rejected")</f>
        <v>Accepted</v>
      </c>
      <c r="T91" s="2">
        <v>42273</v>
      </c>
      <c r="U91" t="str">
        <f>IF(S91="Accepted",IF(J91&gt;20, "Accepted", "Rejected"), "Rejected")</f>
        <v>Accepted</v>
      </c>
      <c r="V91" s="2">
        <v>42275</v>
      </c>
      <c r="W91" s="2">
        <v>42277</v>
      </c>
      <c r="X91" s="3">
        <f>+W91-R91</f>
        <v>4</v>
      </c>
      <c r="Y91" t="str">
        <v>Tarjeta enviada</v>
      </c>
      <c r="Z91" s="4">
        <v>58000</v>
      </c>
      <c r="AA91" t="str">
        <v>10-sep documentación incompleta. 28-sep se autoriza el crédito por 58000.</v>
      </c>
    </row>
    <row r="92">
      <c r="A92">
        <v>37</v>
      </c>
      <c r="B92">
        <v>873450</v>
      </c>
      <c r="C92">
        <v>25</v>
      </c>
      <c r="D92" t="str">
        <v>single</v>
      </c>
      <c r="E92" t="str">
        <v>female</v>
      </c>
      <c r="F92" t="str">
        <v>D.F.</v>
      </c>
      <c r="G92">
        <v>897</v>
      </c>
      <c r="H92">
        <v>2</v>
      </c>
      <c r="I92">
        <v>78</v>
      </c>
      <c r="J92">
        <v>17</v>
      </c>
      <c r="K92" s="2">
        <v>42288</v>
      </c>
      <c r="L92" s="2">
        <v>42288</v>
      </c>
      <c r="M92">
        <v>1</v>
      </c>
      <c r="N92" s="3">
        <f>+L92-K92</f>
        <v>0</v>
      </c>
      <c r="P92" s="2">
        <v>42289</v>
      </c>
      <c r="Q92" s="3">
        <f>+P92-K92</f>
        <v>1</v>
      </c>
      <c r="R92" s="2">
        <v>42291</v>
      </c>
      <c r="S92" t="str">
        <f>IF(I92&gt;70, "Accepted", "Rejected")</f>
        <v>Accepted</v>
      </c>
      <c r="T92" s="2">
        <v>42292</v>
      </c>
      <c r="U92" t="str">
        <f>IF(S92="Accepted",IF(J92&gt;20, "Accepted", "Rejected"), "Rejected")</f>
        <v>Rejected</v>
      </c>
      <c r="V92" s="2">
        <v>42292</v>
      </c>
      <c r="Y92" t="str">
        <v>Rechazo Score</v>
      </c>
      <c r="AA92" t="str">
        <v>15 oct Rechazo Score.</v>
      </c>
    </row>
    <row r="93">
      <c r="A93">
        <v>47</v>
      </c>
      <c r="B93">
        <v>879346</v>
      </c>
      <c r="C93">
        <v>37</v>
      </c>
      <c r="D93" t="str">
        <v>married</v>
      </c>
      <c r="E93" t="str">
        <v>male</v>
      </c>
      <c r="F93" t="str">
        <v>D.F.</v>
      </c>
      <c r="G93">
        <v>897</v>
      </c>
      <c r="H93">
        <v>2</v>
      </c>
      <c r="I93">
        <v>75</v>
      </c>
      <c r="J93">
        <v>27</v>
      </c>
      <c r="K93" s="2">
        <v>42283</v>
      </c>
      <c r="L93" s="2">
        <v>42283</v>
      </c>
      <c r="M93">
        <v>1</v>
      </c>
      <c r="N93" s="3">
        <f>+L93-K93</f>
        <v>0</v>
      </c>
      <c r="P93" s="2">
        <v>42287</v>
      </c>
      <c r="Q93" s="3">
        <f>+P93-K93</f>
        <v>4</v>
      </c>
      <c r="R93" s="2">
        <v>42288</v>
      </c>
      <c r="S93" t="str">
        <f>IF(I93&gt;70, "Accepted", "Rejected")</f>
        <v>Accepted</v>
      </c>
      <c r="T93" s="2">
        <v>42292</v>
      </c>
      <c r="U93" t="str">
        <f>IF(S93="Accepted",IF(J93&gt;20, "Accepted", "Rejected"), "Rejected")</f>
        <v>Accepted</v>
      </c>
      <c r="V93" s="2">
        <v>42294</v>
      </c>
      <c r="Y93" t="str">
        <v>Autorizada</v>
      </c>
      <c r="Z93" s="4">
        <v>11700</v>
      </c>
      <c r="AA93" t="str">
        <v>17-oct se autoriza crédito por 11700</v>
      </c>
    </row>
    <row r="94">
      <c r="A94">
        <v>44</v>
      </c>
      <c r="B94">
        <v>893452</v>
      </c>
      <c r="C94">
        <v>51</v>
      </c>
      <c r="D94" t="str">
        <v>married</v>
      </c>
      <c r="E94" t="str">
        <v>female</v>
      </c>
      <c r="F94" t="str">
        <v>D.F.</v>
      </c>
      <c r="G94">
        <v>897</v>
      </c>
      <c r="H94">
        <v>11</v>
      </c>
      <c r="I94">
        <v>97</v>
      </c>
      <c r="J94">
        <v>21</v>
      </c>
      <c r="K94" s="2">
        <v>42208</v>
      </c>
      <c r="L94" s="2">
        <v>42250</v>
      </c>
      <c r="M94">
        <v>2</v>
      </c>
      <c r="N94" s="3">
        <f>+L94-K94</f>
        <v>42</v>
      </c>
      <c r="P94" s="2">
        <v>42250</v>
      </c>
      <c r="Q94" s="3">
        <f>+P94-K94</f>
        <v>42</v>
      </c>
      <c r="R94" s="2">
        <v>42255</v>
      </c>
      <c r="S94" t="str">
        <f>IF(I94&gt;70, "Accepted", "Rejected")</f>
        <v>Accepted</v>
      </c>
      <c r="T94" s="2">
        <v>42256</v>
      </c>
      <c r="U94" t="str">
        <f>IF(S94="Accepted",IF(J94&gt;20, "Accepted", "Rejected"), "Rejected")</f>
        <v>Accepted</v>
      </c>
      <c r="V94" s="2">
        <v>42258</v>
      </c>
      <c r="W94" s="2">
        <v>42263</v>
      </c>
      <c r="X94" s="3">
        <f>+W94-R94</f>
        <v>8</v>
      </c>
      <c r="Y94" t="str">
        <v>Tarjeta enviada</v>
      </c>
      <c r="Z94" s="4">
        <v>92000</v>
      </c>
      <c r="AA94" t="str">
        <v>4-sep error de captura. 7-sep error de captura. 16-sep se autoriza crédito por 92000.</v>
      </c>
    </row>
    <row r="95">
      <c r="A95">
        <v>21</v>
      </c>
      <c r="B95">
        <v>898922</v>
      </c>
      <c r="C95">
        <v>52</v>
      </c>
      <c r="D95" t="str">
        <v>married</v>
      </c>
      <c r="E95" t="str">
        <v>female</v>
      </c>
      <c r="F95" t="str">
        <v>Guanajuato</v>
      </c>
      <c r="G95">
        <v>913</v>
      </c>
      <c r="H95">
        <v>1</v>
      </c>
      <c r="I95">
        <v>69</v>
      </c>
      <c r="J95" t="str">
        <v>NA</v>
      </c>
      <c r="K95" s="2">
        <v>42232</v>
      </c>
      <c r="L95" s="2">
        <v>42240</v>
      </c>
      <c r="M95">
        <v>2</v>
      </c>
      <c r="N95" s="3">
        <f>+L95-K95</f>
        <v>8</v>
      </c>
      <c r="P95" s="2">
        <v>42243</v>
      </c>
      <c r="Q95" s="3">
        <f>+P95-K95</f>
        <v>11</v>
      </c>
      <c r="R95" s="2">
        <v>42248</v>
      </c>
      <c r="S95" t="str">
        <f>IF(I95&gt;70, "Accepted", "Rejected")</f>
        <v>Rejected</v>
      </c>
      <c r="T95" s="2">
        <v>42251</v>
      </c>
      <c r="U95" t="str">
        <v>NA</v>
      </c>
      <c r="V95" t="str">
        <v>NA</v>
      </c>
      <c r="Y95" t="str">
        <v>Rechazo Buró</v>
      </c>
      <c r="AA95" t="str">
        <v>20 ago documentación incompleta. 4 sep Rechazo Buró</v>
      </c>
    </row>
    <row r="96">
      <c r="A96">
        <v>18</v>
      </c>
      <c r="B96">
        <v>908033</v>
      </c>
      <c r="C96">
        <v>26</v>
      </c>
      <c r="D96" t="str">
        <v>single</v>
      </c>
      <c r="E96" t="str">
        <v>male</v>
      </c>
      <c r="F96" t="str">
        <v xml:space="preserve">Baja California </v>
      </c>
      <c r="G96">
        <v>920</v>
      </c>
      <c r="H96">
        <v>2</v>
      </c>
      <c r="I96">
        <v>34</v>
      </c>
      <c r="J96" t="str">
        <v>NA</v>
      </c>
      <c r="K96" s="2">
        <v>42207</v>
      </c>
      <c r="L96" s="2">
        <v>42269</v>
      </c>
      <c r="M96">
        <v>2</v>
      </c>
      <c r="N96" s="3">
        <f>+L96-K96</f>
        <v>62</v>
      </c>
      <c r="P96" s="2">
        <v>42272</v>
      </c>
      <c r="Q96" s="3">
        <f>+P96-K96</f>
        <v>65</v>
      </c>
      <c r="R96" s="2">
        <v>42276</v>
      </c>
      <c r="S96" t="str">
        <f>IF(I96&gt;70, "Accepted", "Rejected")</f>
        <v>Rejected</v>
      </c>
      <c r="T96" s="2">
        <v>42277</v>
      </c>
      <c r="U96" t="str">
        <v>NA</v>
      </c>
      <c r="V96" t="str">
        <v>NA</v>
      </c>
      <c r="Y96" t="str">
        <v>Rechazo Buró</v>
      </c>
      <c r="AA96" s="2" t="str">
        <v>12 ago documentación incompleta. 30 sep Rechazo Buró</v>
      </c>
    </row>
    <row r="97">
      <c r="A97">
        <v>62</v>
      </c>
      <c r="B97">
        <v>930127</v>
      </c>
      <c r="C97">
        <v>39</v>
      </c>
      <c r="D97" t="str">
        <v xml:space="preserve">married </v>
      </c>
      <c r="E97" t="str">
        <v>male</v>
      </c>
      <c r="F97" t="str">
        <v xml:space="preserve">Morelos </v>
      </c>
      <c r="G97">
        <v>948</v>
      </c>
      <c r="H97">
        <v>6</v>
      </c>
      <c r="I97">
        <v>72</v>
      </c>
      <c r="J97">
        <v>22</v>
      </c>
      <c r="K97" s="2">
        <v>42228</v>
      </c>
      <c r="L97" s="2">
        <v>42292</v>
      </c>
      <c r="M97">
        <v>4</v>
      </c>
      <c r="N97" s="3">
        <f>+L97-K97</f>
        <v>64</v>
      </c>
      <c r="P97" s="2">
        <v>42293</v>
      </c>
      <c r="Q97" s="3">
        <f>+P97-K97</f>
        <v>65</v>
      </c>
      <c r="R97" s="2">
        <v>42295</v>
      </c>
      <c r="S97" t="str">
        <f>IF(I97&gt;70, "Accepted", "Rejected")</f>
        <v>Accepted</v>
      </c>
      <c r="T97" s="2">
        <v>42297</v>
      </c>
      <c r="U97" t="str">
        <f>IF(S97="Accepted",IF(J97&gt;20, "Accepted", "Rejected"), "Rejected")</f>
        <v>Accepted</v>
      </c>
      <c r="V97" s="2">
        <v>42299</v>
      </c>
      <c r="W97" s="2">
        <v>42302</v>
      </c>
      <c r="X97" s="3">
        <f>+W97-R97</f>
        <v>7</v>
      </c>
      <c r="Y97" t="str">
        <v>Aceptado Score</v>
      </c>
      <c r="Z97" s="4">
        <v>87000</v>
      </c>
      <c r="AA97" t="str">
        <v>14-ago error de captura. 28-ago documentación ilegible. 17-sep error de captura. 25 oct se autoriza el crédito por 87000.</v>
      </c>
    </row>
    <row r="98">
      <c r="A98">
        <v>57</v>
      </c>
      <c r="B98">
        <v>931201</v>
      </c>
      <c r="C98">
        <v>27</v>
      </c>
      <c r="D98" t="str">
        <v>single</v>
      </c>
      <c r="E98" t="str">
        <v>male</v>
      </c>
      <c r="F98" t="str">
        <v>Puebla</v>
      </c>
      <c r="G98">
        <v>954</v>
      </c>
      <c r="H98">
        <v>4</v>
      </c>
      <c r="I98" t="str">
        <v>NA</v>
      </c>
      <c r="J98" t="str">
        <v>NA</v>
      </c>
      <c r="K98" s="2">
        <v>42274</v>
      </c>
      <c r="L98" s="2">
        <v>42274</v>
      </c>
      <c r="M98">
        <v>1</v>
      </c>
      <c r="N98" s="3">
        <f>+L98-K98</f>
        <v>0</v>
      </c>
      <c r="P98" s="2">
        <v>42277</v>
      </c>
      <c r="Q98" s="3">
        <f>+P98-K98</f>
        <v>3</v>
      </c>
      <c r="R98" s="2">
        <v>42279</v>
      </c>
      <c r="S98" t="str">
        <v>NA</v>
      </c>
      <c r="U98" t="str">
        <v>NA</v>
      </c>
      <c r="V98" t="str">
        <v>NA</v>
      </c>
      <c r="Y98" t="str">
        <v>Documentos recibidos</v>
      </c>
      <c r="AA98" t="str">
        <v>3 oct error de captura.</v>
      </c>
    </row>
    <row r="99">
      <c r="A99">
        <v>59</v>
      </c>
      <c r="B99">
        <v>963450</v>
      </c>
      <c r="C99">
        <v>36</v>
      </c>
      <c r="D99" t="str">
        <v>single</v>
      </c>
      <c r="E99" t="str">
        <v>female</v>
      </c>
      <c r="F99" t="str">
        <v>Puebla</v>
      </c>
      <c r="G99">
        <v>954</v>
      </c>
      <c r="H99">
        <v>3</v>
      </c>
      <c r="I99">
        <v>72</v>
      </c>
      <c r="J99">
        <v>21</v>
      </c>
      <c r="K99" s="2">
        <v>42223</v>
      </c>
      <c r="L99" s="2">
        <v>42223</v>
      </c>
      <c r="M99">
        <v>1</v>
      </c>
      <c r="N99" s="3">
        <f>+L99-K99</f>
        <v>0</v>
      </c>
      <c r="P99" s="2">
        <v>42227</v>
      </c>
      <c r="Q99" s="3">
        <f>+P99-K99</f>
        <v>4</v>
      </c>
      <c r="R99" s="2">
        <v>42229</v>
      </c>
      <c r="S99" t="str">
        <f>IF(I99&gt;70, "Accepted", "Rejected")</f>
        <v>Accepted</v>
      </c>
      <c r="T99" s="2">
        <v>42229</v>
      </c>
      <c r="U99" t="str">
        <f>IF(S99="Accepted",IF(J99&gt;20, "Accepted", "Rejected"), "Rejected")</f>
        <v>Accepted</v>
      </c>
      <c r="V99" s="2">
        <v>42231</v>
      </c>
      <c r="Y99" t="str">
        <v>Autorizada</v>
      </c>
      <c r="Z99" s="4">
        <v>26000</v>
      </c>
      <c r="AA99" t="str">
        <v>15-ago se autoriza el crédito por 26000.</v>
      </c>
    </row>
    <row r="100">
      <c r="A100">
        <v>34</v>
      </c>
      <c r="B100">
        <v>975432</v>
      </c>
      <c r="C100">
        <v>44</v>
      </c>
      <c r="D100" t="str">
        <v>single</v>
      </c>
      <c r="E100" t="str">
        <v>male</v>
      </c>
      <c r="F100" t="str">
        <v>Edo Mex</v>
      </c>
      <c r="G100">
        <v>965</v>
      </c>
      <c r="H100">
        <v>3</v>
      </c>
      <c r="I100">
        <v>58</v>
      </c>
      <c r="J100" t="str">
        <v>NA</v>
      </c>
      <c r="K100" s="2">
        <v>42275</v>
      </c>
      <c r="L100" s="2">
        <v>42283</v>
      </c>
      <c r="M100">
        <v>2</v>
      </c>
      <c r="N100" s="3">
        <f>+L100-K100</f>
        <v>8</v>
      </c>
      <c r="P100" s="2">
        <v>42284</v>
      </c>
      <c r="Q100" s="3">
        <f>+P100-K100</f>
        <v>9</v>
      </c>
      <c r="R100" s="2">
        <v>42286</v>
      </c>
      <c r="S100" t="str">
        <f>IF(I100&gt;70, "Accepted", "Rejected")</f>
        <v>Rejected</v>
      </c>
      <c r="T100" s="2">
        <v>42287</v>
      </c>
      <c r="U100" t="str">
        <v>NA</v>
      </c>
      <c r="V100" t="str">
        <v>NA</v>
      </c>
      <c r="Y100" t="str">
        <v>Rechazo Buró</v>
      </c>
      <c r="AA100" t="str">
        <v xml:space="preserve">30 sep. documentación ilegible. 10 oct Rechazo Buró. </v>
      </c>
    </row>
    <row r="101">
      <c r="A101">
        <v>67</v>
      </c>
      <c r="B101">
        <v>983201</v>
      </c>
      <c r="C101">
        <v>31</v>
      </c>
      <c r="D101" t="str">
        <v>single</v>
      </c>
      <c r="E101" t="str">
        <v>male</v>
      </c>
      <c r="F101" t="str">
        <v>Edo Mex</v>
      </c>
      <c r="G101">
        <v>965</v>
      </c>
      <c r="H101">
        <v>2</v>
      </c>
      <c r="I101">
        <v>33</v>
      </c>
      <c r="J101" t="str">
        <v>NA</v>
      </c>
      <c r="K101" s="2">
        <v>42207</v>
      </c>
      <c r="L101" s="2">
        <v>42258</v>
      </c>
      <c r="M101">
        <v>2</v>
      </c>
      <c r="N101" s="3">
        <f>+L101-K101</f>
        <v>51</v>
      </c>
      <c r="P101" s="2">
        <v>42259</v>
      </c>
      <c r="Q101" s="3">
        <f>+P101-K101</f>
        <v>52</v>
      </c>
      <c r="R101" s="2">
        <v>42272</v>
      </c>
      <c r="S101" t="str">
        <f>IF(I101&gt;70, "Accepted", "Rejected")</f>
        <v>Rejected</v>
      </c>
      <c r="T101" s="2">
        <v>42277</v>
      </c>
      <c r="U101" t="str">
        <v>NA</v>
      </c>
      <c r="V101" t="str">
        <v>NA</v>
      </c>
      <c r="Y101" t="str">
        <v>Rechazo Buró</v>
      </c>
      <c r="AA101" s="2" t="str">
        <v>15-ago documentación incompleta. 30-sep Rechazo Buró.</v>
      </c>
    </row>
    <row r="102">
      <c r="A102">
        <v>16</v>
      </c>
      <c r="B102">
        <v>984343</v>
      </c>
      <c r="C102">
        <v>32</v>
      </c>
      <c r="D102" t="str">
        <v>married</v>
      </c>
      <c r="E102" t="str">
        <v>female</v>
      </c>
      <c r="F102" t="str">
        <v>Edo Mex</v>
      </c>
      <c r="G102">
        <v>965</v>
      </c>
      <c r="H102">
        <v>9</v>
      </c>
      <c r="I102">
        <v>74</v>
      </c>
      <c r="J102">
        <v>19</v>
      </c>
      <c r="K102" s="2">
        <v>42254</v>
      </c>
      <c r="L102" s="2">
        <v>42254</v>
      </c>
      <c r="M102">
        <v>1</v>
      </c>
      <c r="N102" s="3">
        <f>+L102-K102</f>
        <v>0</v>
      </c>
      <c r="P102" s="2">
        <v>42257</v>
      </c>
      <c r="Q102" s="3">
        <f>+P102-K102</f>
        <v>3</v>
      </c>
      <c r="R102" s="2">
        <v>42260</v>
      </c>
      <c r="S102" t="str">
        <f>IF(I102&gt;70, "Accepted", "Rejected")</f>
        <v>Accepted</v>
      </c>
      <c r="T102" s="2">
        <v>42261</v>
      </c>
      <c r="U102" t="str">
        <f>IF(S102="Accepted",IF(J102&gt;20, "Accepted", "Rejected"), "Rejected")</f>
        <v>Rejected</v>
      </c>
      <c r="V102" s="2">
        <v>42261</v>
      </c>
      <c r="Y102" t="str">
        <v>Rechazo Score</v>
      </c>
      <c r="AA102" t="str">
        <v>14 sep Rechazo Score.</v>
      </c>
    </row>
    <row r="103">
      <c r="A103">
        <v>50</v>
      </c>
      <c r="B103">
        <v>985632</v>
      </c>
      <c r="C103">
        <v>57</v>
      </c>
      <c r="D103" t="str">
        <v>single</v>
      </c>
      <c r="E103" t="str">
        <v>male</v>
      </c>
      <c r="F103" t="str">
        <v>Tabasco</v>
      </c>
      <c r="G103">
        <v>973</v>
      </c>
      <c r="H103">
        <v>12</v>
      </c>
      <c r="I103">
        <v>72</v>
      </c>
      <c r="J103">
        <v>22</v>
      </c>
      <c r="K103" s="2">
        <v>42225</v>
      </c>
      <c r="L103" s="2">
        <v>42297</v>
      </c>
      <c r="M103">
        <v>4</v>
      </c>
      <c r="N103" s="3">
        <f>+L103-K103</f>
        <v>72</v>
      </c>
      <c r="P103" s="2">
        <v>42300</v>
      </c>
      <c r="Q103" s="3">
        <f>+P103-K103</f>
        <v>75</v>
      </c>
      <c r="R103" s="2">
        <v>42301</v>
      </c>
      <c r="S103" t="str">
        <f>IF(I103&gt;70, "Accepted", "Rejected")</f>
        <v>Accepted</v>
      </c>
      <c r="T103" s="2">
        <v>42303</v>
      </c>
      <c r="U103" t="str">
        <f>IF(S103="Accepted",IF(J103&gt;20, "Accepted", "Rejected"), "Rejected")</f>
        <v>Accepted</v>
      </c>
      <c r="V103" s="2">
        <v>42303</v>
      </c>
      <c r="Y103" t="str">
        <v>Aceptado Score</v>
      </c>
      <c r="Z103" s="4">
        <v>56500</v>
      </c>
      <c r="AA103" t="str">
        <v>11 ago documentación ilegible. 20 ago documentación incompleta. 28 sep documentación incompleta.26 oct se autoriza el crédito por 56500.</v>
      </c>
    </row>
    <row r="104">
      <c r="A104">
        <v>14</v>
      </c>
      <c r="B104">
        <v>989203</v>
      </c>
      <c r="C104">
        <v>45</v>
      </c>
      <c r="D104" t="str">
        <v>married</v>
      </c>
      <c r="E104" t="str">
        <v>male</v>
      </c>
      <c r="F104" t="str">
        <v>Yucatán</v>
      </c>
      <c r="G104">
        <v>975</v>
      </c>
      <c r="H104">
        <v>1</v>
      </c>
      <c r="I104">
        <v>68</v>
      </c>
      <c r="J104" t="str">
        <v>NA</v>
      </c>
      <c r="K104" s="2">
        <v>42201</v>
      </c>
      <c r="L104" s="2">
        <v>42218</v>
      </c>
      <c r="M104">
        <v>2</v>
      </c>
      <c r="N104" s="3">
        <f>+L104-K104</f>
        <v>17</v>
      </c>
      <c r="P104" s="2">
        <v>42219</v>
      </c>
      <c r="Q104" s="3">
        <f>+P104-K104</f>
        <v>18</v>
      </c>
      <c r="R104" s="2">
        <v>42222</v>
      </c>
      <c r="S104" t="str">
        <f>IF(I104&gt;70, "Accepted", "Rejected")</f>
        <v>Rejected</v>
      </c>
      <c r="T104" s="2">
        <v>42224</v>
      </c>
      <c r="U104" t="str">
        <v>NA</v>
      </c>
      <c r="V104" t="str">
        <v>NA</v>
      </c>
      <c r="Y104" t="str">
        <v>Rechazo Buró</v>
      </c>
      <c r="AA104" t="str">
        <v>19 jul documentación ilegible. 8 ago. Rechazo Buró</v>
      </c>
    </row>
  </sheetData>
  <pageMargins left="0.7" right="0.7" top="0.75" bottom="0.75" header="0.3" footer="0.3"/>
  <ignoredErrors>
    <ignoredError numberStoredAsText="1" sqref="A1:AA10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2017-11-20T19:00:19Z</dcterms:created>
  <dcterms:modified xsi:type="dcterms:W3CDTF">2026-10-15T18:14:10Z</dcterms:modified>
  <cp:lastModifiedBy>Rodrigo Garza Burgos</cp:lastModifiedBy>
  <dc:creator>Microsoft Office User</dc:creator>
</cp:coreProperties>
</file>