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ipadeac-my.sharepoint.com/personal/rgarza_ipade_mx/Documents/Documentos/Dirección Operaciones/Casos Ipade/florida Power/Nuevo ejercicio de Mejora/"/>
    </mc:Choice>
  </mc:AlternateContent>
  <xr:revisionPtr revIDLastSave="0" documentId="11_502B9CB8443C9E8910A4BE30C66863EFA9177938" xr6:coauthVersionLast="47" xr6:coauthVersionMax="47" xr10:uidLastSave="{00000000-0000-0000-0000-000000000000}"/>
  <bookViews>
    <workbookView xWindow="0" yWindow="660" windowWidth="28800" windowHeight="16580" xr2:uid="{00000000-000D-0000-FFFF-FFFF00000000}"/>
  </bookViews>
  <sheets>
    <sheet name="Hoja1" sheetId="1" r:id="rId1"/>
    <sheet name="Hoja3" sheetId="3" r:id="rId2"/>
  </sheets>
  <definedNames>
    <definedName name="_xlnm._FilterDatabase" localSheetId="0" hidden="1">Hoja1!$A$1:$W$105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104" i="1" l="1"/>
  <c r="P103" i="1"/>
  <c r="R103" i="1" s="1"/>
  <c r="P102" i="1"/>
  <c r="R102" i="1" s="1"/>
  <c r="P101" i="1"/>
  <c r="P100" i="1"/>
  <c r="P99" i="1"/>
  <c r="R99" i="1"/>
  <c r="P97" i="1"/>
  <c r="R97" i="1" s="1"/>
  <c r="P96" i="1"/>
  <c r="P95" i="1"/>
  <c r="P94" i="1"/>
  <c r="R94" i="1"/>
  <c r="P93" i="1"/>
  <c r="R93" i="1"/>
  <c r="P92" i="1"/>
  <c r="R92" i="1"/>
  <c r="P91" i="1"/>
  <c r="R91" i="1" s="1"/>
  <c r="R90" i="1"/>
  <c r="P89" i="1"/>
  <c r="R89" i="1"/>
  <c r="P88" i="1"/>
  <c r="R88" i="1"/>
  <c r="P87" i="1"/>
  <c r="R87" i="1" s="1"/>
  <c r="P85" i="1"/>
  <c r="R85" i="1"/>
  <c r="P84" i="1"/>
  <c r="R84" i="1"/>
  <c r="P83" i="1"/>
  <c r="R83" i="1"/>
  <c r="P82" i="1"/>
  <c r="R82" i="1"/>
  <c r="P80" i="1"/>
  <c r="R80" i="1" s="1"/>
  <c r="P79" i="1"/>
  <c r="R79" i="1"/>
  <c r="P78" i="1"/>
  <c r="P77" i="1"/>
  <c r="R77" i="1" s="1"/>
  <c r="P76" i="1"/>
  <c r="R76" i="1"/>
  <c r="P75" i="1"/>
  <c r="R75" i="1"/>
  <c r="P74" i="1"/>
  <c r="R74" i="1"/>
  <c r="P72" i="1"/>
  <c r="R72" i="1" s="1"/>
  <c r="P71" i="1"/>
  <c r="P70" i="1"/>
  <c r="R70" i="1"/>
  <c r="P69" i="1"/>
  <c r="P68" i="1"/>
  <c r="R68" i="1"/>
  <c r="P66" i="1"/>
  <c r="R66" i="1"/>
  <c r="P65" i="1"/>
  <c r="P63" i="1"/>
  <c r="R63" i="1"/>
  <c r="P62" i="1"/>
  <c r="R62" i="1"/>
  <c r="P61" i="1"/>
  <c r="R61" i="1"/>
  <c r="P60" i="1"/>
  <c r="P59" i="1"/>
  <c r="R59" i="1"/>
  <c r="P58" i="1"/>
  <c r="R58" i="1" s="1"/>
  <c r="P57" i="1"/>
  <c r="R57" i="1" s="1"/>
  <c r="P56" i="1"/>
  <c r="R56" i="1"/>
  <c r="P55" i="1"/>
  <c r="R55" i="1"/>
  <c r="P54" i="1"/>
  <c r="R54" i="1"/>
  <c r="P53" i="1"/>
  <c r="R53" i="1" s="1"/>
  <c r="P52" i="1"/>
  <c r="P51" i="1"/>
  <c r="P50" i="1"/>
  <c r="P49" i="1"/>
  <c r="P47" i="1"/>
  <c r="R47" i="1"/>
  <c r="P46" i="1"/>
  <c r="R46" i="1"/>
  <c r="P45" i="1"/>
  <c r="R45" i="1" s="1"/>
  <c r="P44" i="1"/>
  <c r="R44" i="1" s="1"/>
  <c r="P43" i="1"/>
  <c r="R43" i="1"/>
  <c r="P42" i="1"/>
  <c r="J42" i="1"/>
  <c r="P41" i="1"/>
  <c r="P40" i="1"/>
  <c r="R40" i="1" s="1"/>
  <c r="P39" i="1"/>
  <c r="P38" i="1"/>
  <c r="P37" i="1"/>
  <c r="R37" i="1"/>
  <c r="P36" i="1"/>
  <c r="P35" i="1"/>
  <c r="R35" i="1" s="1"/>
  <c r="P34" i="1"/>
  <c r="R34" i="1"/>
  <c r="P33" i="1"/>
  <c r="R33" i="1"/>
  <c r="P32" i="1"/>
  <c r="R32" i="1"/>
  <c r="P31" i="1"/>
  <c r="R31" i="1"/>
  <c r="P30" i="1"/>
  <c r="R30" i="1" s="1"/>
  <c r="P29" i="1"/>
  <c r="R29" i="1"/>
  <c r="P28" i="1"/>
  <c r="R28" i="1"/>
  <c r="P27" i="1"/>
  <c r="R27" i="1"/>
  <c r="P26" i="1"/>
  <c r="R26" i="1"/>
  <c r="P25" i="1"/>
  <c r="P24" i="1"/>
  <c r="R24" i="1"/>
  <c r="P23" i="1"/>
  <c r="R23" i="1" s="1"/>
  <c r="P22" i="1"/>
  <c r="R22" i="1" s="1"/>
  <c r="P21" i="1"/>
  <c r="P20" i="1"/>
  <c r="P19" i="1"/>
  <c r="R19" i="1"/>
  <c r="P18" i="1"/>
  <c r="P17" i="1"/>
  <c r="R17" i="1"/>
  <c r="P16" i="1"/>
  <c r="R16" i="1"/>
  <c r="P15" i="1"/>
  <c r="P14" i="1"/>
  <c r="R14" i="1"/>
  <c r="P13" i="1"/>
  <c r="R13" i="1"/>
  <c r="P12" i="1"/>
  <c r="P11" i="1"/>
  <c r="R11" i="1"/>
  <c r="P10" i="1"/>
  <c r="P9" i="1"/>
  <c r="R9" i="1" s="1"/>
  <c r="P8" i="1"/>
  <c r="R8" i="1"/>
  <c r="P7" i="1"/>
  <c r="R7" i="1"/>
  <c r="P6" i="1"/>
  <c r="R6" i="1"/>
  <c r="P5" i="1"/>
  <c r="R5" i="1" s="1"/>
  <c r="P4" i="1"/>
  <c r="R4" i="1" s="1"/>
  <c r="P2" i="1"/>
  <c r="R2" i="1"/>
  <c r="C42" i="1"/>
  <c r="R42" i="1" l="1"/>
</calcChain>
</file>

<file path=xl/sharedStrings.xml><?xml version="1.0" encoding="utf-8"?>
<sst xmlns="http://schemas.openxmlformats.org/spreadsheetml/2006/main" count="751" uniqueCount="168">
  <si>
    <t>Morelos</t>
  </si>
  <si>
    <t>NA</t>
  </si>
  <si>
    <t>Nuevo León</t>
  </si>
  <si>
    <t>Edo Mex</t>
  </si>
  <si>
    <t>12 oct se autoriza el crédito por 13500.</t>
  </si>
  <si>
    <t>Jalisco</t>
  </si>
  <si>
    <t>D.F.</t>
  </si>
  <si>
    <t>Oaxaca</t>
  </si>
  <si>
    <t xml:space="preserve">Baja California </t>
  </si>
  <si>
    <t>Puebla</t>
  </si>
  <si>
    <t>Yucatán</t>
  </si>
  <si>
    <t>12 jul error de captura. 26 jul documentación incompleta. 22 sep se autoriza el crédito por 69000.</t>
  </si>
  <si>
    <t>Veracruz</t>
  </si>
  <si>
    <t>Sinaloa</t>
  </si>
  <si>
    <t>Guanajuato</t>
  </si>
  <si>
    <t>12 ago documentación incompleta. 30 sep rechazo buró</t>
  </si>
  <si>
    <t xml:space="preserve">17 jul documentación ilegible. 23 jul error captura. 9 sep rechazo buró. </t>
  </si>
  <si>
    <t>Quintana Roo</t>
  </si>
  <si>
    <t>maculino</t>
  </si>
  <si>
    <t xml:space="preserve">Hidalgo </t>
  </si>
  <si>
    <t>21 ago error captura. 17 sep documentación incompleta. 8 oct se autoriza crédito por 37700.</t>
  </si>
  <si>
    <t>Querétaro</t>
  </si>
  <si>
    <t>Coahuila</t>
  </si>
  <si>
    <t>3 sep error captura. 11 sep error captura. 10 oct se autoriza crédito por 26700.</t>
  </si>
  <si>
    <t>Tabasco</t>
  </si>
  <si>
    <t>10 sep Documentación ilegible. 13 oct Se autoriza el crédito por 123,000</t>
  </si>
  <si>
    <t>23 jul documentación incompleta. 26 ago se autoriza el crédito por 89000.</t>
  </si>
  <si>
    <t>5 ago documentación ilegible. 18 ago documentación incompleta. 11 sep de autoriza el crédito por 56000.</t>
  </si>
  <si>
    <t xml:space="preserve">Durango </t>
  </si>
  <si>
    <t>10 ago error captura. 17 ago error captura. 18 sep se autoriza crédito por 45600.</t>
  </si>
  <si>
    <t>5 ago documentación incompleta. 7 sep se autoriza el crédito por 30921.</t>
  </si>
  <si>
    <t>17 sep error captura. 23 sep documentación incompleta. 30 sep documentación incompleta. 14 oct se autoriza crédito por 12000.</t>
  </si>
  <si>
    <t xml:space="preserve">Morelos </t>
  </si>
  <si>
    <t>Tlaxcala</t>
  </si>
  <si>
    <t>19 ago IFE ilegible.
15 sep se autoriza 60,200</t>
  </si>
  <si>
    <t>Chihuahua</t>
  </si>
  <si>
    <t>14 sep documentación incompleta. 6 oct se autoriza el crédito por 38000.</t>
  </si>
  <si>
    <t>solero</t>
  </si>
  <si>
    <t>12 sep documentación incompleta. 8 oct se autoriza crédito por 46700.</t>
  </si>
  <si>
    <t>Tamaulipas</t>
  </si>
  <si>
    <t>07-sep documentación incompleta. 12-oct se autoriza el crédito por 25300.</t>
  </si>
  <si>
    <t>15-ago error de captura. 27-ago documentación incompleta. 17-sep de autoriza el crédito por 32000.</t>
  </si>
  <si>
    <t>Chiapas</t>
  </si>
  <si>
    <t>19 jul documentación ilegible. 8 ago. Rechazo Buró</t>
  </si>
  <si>
    <t>3 sep documentación incompleta. 22 sep rechazo buró.</t>
  </si>
  <si>
    <t>Guerrero</t>
  </si>
  <si>
    <t>10-sep documentación incompleta. 28-sep se autoriza el crédito por 58000.</t>
  </si>
  <si>
    <t>22-sep Error de captura. 27-oct Rechazo Buró</t>
  </si>
  <si>
    <t>29-ago documentación ilegible. 27-sep Se autoriza el crédito por 78500.</t>
  </si>
  <si>
    <t>20 ago documentación incompleta. 4 sep rechazo buró</t>
  </si>
  <si>
    <t>Aguascalientes</t>
  </si>
  <si>
    <t>Michoacán</t>
  </si>
  <si>
    <t xml:space="preserve">Colima </t>
  </si>
  <si>
    <t>19-sep error de captura. 27-oct se autoriza el crédito por 53900.</t>
  </si>
  <si>
    <t>12 oct se autoriza el crédito por 95500.</t>
  </si>
  <si>
    <t>22 sep error de captura.</t>
  </si>
  <si>
    <t>29 sep se autoriza el crédito por 102600</t>
  </si>
  <si>
    <t xml:space="preserve">1 sep rechazo buró. </t>
  </si>
  <si>
    <t>2 oct rechazo buró.</t>
  </si>
  <si>
    <t>15 jul. Error de captura. 17 ago Rechazo Buró</t>
  </si>
  <si>
    <t>17-oct error de captura.</t>
  </si>
  <si>
    <t>Zacatecas</t>
  </si>
  <si>
    <t>15-ago se autoriza el crédito por 26000.</t>
  </si>
  <si>
    <t>11-oct se autoriza el crédito por 85600.</t>
  </si>
  <si>
    <t>25 sep se autorizan 20,200</t>
  </si>
  <si>
    <t>04 Oct Documentos ilegibles</t>
  </si>
  <si>
    <t>20 jul. Documentación ilegible. 27 jul Documentación incompleta. 6 ago error captura. 15 sep error captura. 27 sep error captura. 15 oct Se autoriza el crédito por 39500.</t>
  </si>
  <si>
    <t>17 oct Documentos ilegibles</t>
  </si>
  <si>
    <t>San Luis Potosí</t>
  </si>
  <si>
    <t>3 oct error de captura.</t>
  </si>
  <si>
    <t>13-oct se autoriza crédito por 45000.</t>
  </si>
  <si>
    <t>3 oct aprobada por 39,200</t>
  </si>
  <si>
    <t>25 sep documentación incompleta. 12 oct se autoriza crédito por 35500.</t>
  </si>
  <si>
    <t>7 ago error de captura. 17 ago documentación incompleta. 21 sep Documentación incompleta.15 oct se autoriza el crédito por 27,800.</t>
  </si>
  <si>
    <t>22 sep documentación ilegible. 2 oct rechazo del buro.</t>
  </si>
  <si>
    <t>6 oct Envío de platico aprobado por 58,500</t>
  </si>
  <si>
    <t>4-sep error captura. 7-sep error captura. 16-sep se autoriza crédito por 92000.</t>
  </si>
  <si>
    <t>4 ago error de captura. 28 oct se autoriza crédito</t>
  </si>
  <si>
    <t>29 sep Documentación incompleta. 4 oct identificación no valida. 26 oct aprobado</t>
  </si>
  <si>
    <t>14-ago error de captura. 28-ago documentación ilegible. 17-sep error de captura. 25 oct se autoriza el crédito por 87000.</t>
  </si>
  <si>
    <t>16 oct se autoriza crédito por 45000.</t>
  </si>
  <si>
    <t>2 sep Error captura. 10 sep identificación no valida. 9 oct aprobado por 42,000</t>
  </si>
  <si>
    <t>4 sep documentación no corresponde a folio. 14 sep aprobado 36,000</t>
  </si>
  <si>
    <t>18 sep Envío de plástico. Aprobación por 13,600</t>
  </si>
  <si>
    <t>11 oct aprobado por 39,100</t>
  </si>
  <si>
    <t>21-sep se autoriza crédito por 12000.</t>
  </si>
  <si>
    <t xml:space="preserve">30 sep. Documentación ilegible. 10 oct rechazo buró. </t>
  </si>
  <si>
    <t>13-ago error captura. 27-sep se autoriza crédito por 51000.</t>
  </si>
  <si>
    <t>17-oct se autoriza crédito por 11700</t>
  </si>
  <si>
    <t>2 sep Documentación incompleta. 21-Oct autorización 23,050</t>
  </si>
  <si>
    <t>1 sep Identificación no valida. 05 oct aprobación por 34,000</t>
  </si>
  <si>
    <t xml:space="preserve">4 sep documentación incompleta. 6 oct aprobado </t>
  </si>
  <si>
    <t>21-jul documentación incompleta. 29-sep se autoriza crédito por 31200.</t>
  </si>
  <si>
    <t>29 sep se autoriza crédito por 60000.</t>
  </si>
  <si>
    <t>10 oct Se autoriza crédito por 37,000 pesos.</t>
  </si>
  <si>
    <t>22-ago documentación ilegible. 15-sep documentación incompleta. 3-oct sep se autoriza el crédito por 53500.</t>
  </si>
  <si>
    <t>27 ago error de captura. 6-sep se autoriza crédito por 38000</t>
  </si>
  <si>
    <t>11 ago documentación ilegible. 20 ago documentación incompleta. 28 sep Documentación incompleta.26 oct se autoriza el crédito por 56500.</t>
  </si>
  <si>
    <t>18 sep Error de captura.  9 oct Aprobación por 23,700</t>
  </si>
  <si>
    <t>11 ago documentación incompleta. 4 sep Error captura. 7 sep Error captura. 21 oct autorización por 32,100</t>
  </si>
  <si>
    <t>na</t>
  </si>
  <si>
    <t>24 sep Error de captura. 13 oct se autoriza plástico.</t>
  </si>
  <si>
    <t>3-sep error captura. 14-sep rechazo Buró.</t>
  </si>
  <si>
    <t>27 oct error de captura. 24 oct se autoriza crédito por 18,000.</t>
  </si>
  <si>
    <t>20 jul error de captura. 2 ago documentación incompleta. 13 sep documentación ilegible. 15 oct se autoriza 28,550</t>
  </si>
  <si>
    <t>31 ago Documentación incompleta. 27 sep Se autoriza crédito por 75000.</t>
  </si>
  <si>
    <t>married</t>
  </si>
  <si>
    <t xml:space="preserve">married </t>
  </si>
  <si>
    <t>single</t>
  </si>
  <si>
    <t>male</t>
  </si>
  <si>
    <t>female</t>
  </si>
  <si>
    <t>Accepted</t>
  </si>
  <si>
    <t>Rejected</t>
  </si>
  <si>
    <t># Solicitud</t>
  </si>
  <si>
    <t># Cliente</t>
  </si>
  <si>
    <t>Edad</t>
  </si>
  <si>
    <t>Edo. Civil</t>
  </si>
  <si>
    <t>Genero</t>
  </si>
  <si>
    <t>Estado</t>
  </si>
  <si>
    <t># Sucursal</t>
  </si>
  <si>
    <t>Años como cliente</t>
  </si>
  <si>
    <t>Score Buró crédito</t>
  </si>
  <si>
    <t>Score ETFBank</t>
  </si>
  <si>
    <t>Fecha de primer captura</t>
  </si>
  <si>
    <t>Fecha última captura</t>
  </si>
  <si>
    <t># intentos</t>
  </si>
  <si>
    <t>Fecha envio documentos</t>
  </si>
  <si>
    <t>Fecha recepción de documentos CrOP</t>
  </si>
  <si>
    <t>Resultado Buró crédito</t>
  </si>
  <si>
    <t xml:space="preserve">Fecha de consulta a Buró </t>
  </si>
  <si>
    <t>Resultado score ETFBank</t>
  </si>
  <si>
    <t>Fecha consulta score ETFB</t>
  </si>
  <si>
    <t>Fecha envío plástico</t>
  </si>
  <si>
    <t>último status</t>
  </si>
  <si>
    <t>Monto de línea otorgada</t>
  </si>
  <si>
    <t>Comentarios</t>
  </si>
  <si>
    <t>Tarjeta enviada</t>
  </si>
  <si>
    <t>Rechazo Score</t>
  </si>
  <si>
    <t>21 ago error captura. 3 sep Rechazo Score.</t>
  </si>
  <si>
    <t>2 sep error de catura. 14 sep documentación incompleta. 29 oct Rechazo Score</t>
  </si>
  <si>
    <t>19 ago Rechazo Score</t>
  </si>
  <si>
    <t>20 ago documentación incompleta. 22 sep documentación ilegible. 8 oct Rechazo Score.</t>
  </si>
  <si>
    <t>24 sep Rechazo Score.</t>
  </si>
  <si>
    <t>14 oct Rechazo Score</t>
  </si>
  <si>
    <t>22 jul error captura. 1 ago error captura. 21 ago documentación incompleta. 3 sep documentación incompleta. 14 oct Rechazo Score.</t>
  </si>
  <si>
    <t>20-oct error captura. 4-nov Rechazo Score.</t>
  </si>
  <si>
    <t>15 oct Rechazo Score.</t>
  </si>
  <si>
    <t>14 sep Rechazo Score.</t>
  </si>
  <si>
    <t>Rechazo Buró</t>
  </si>
  <si>
    <t>13 sep Error de captura. 23 Oct Rechazo Buró</t>
  </si>
  <si>
    <t>10-sep error de captura. 29-sep Rechazo Buró.</t>
  </si>
  <si>
    <t>31-oct Rechazo Buró.</t>
  </si>
  <si>
    <t>2 jul Documentación incompleta. 10 de ago Erro en captura. 5 sept documentos. 6 oct Rechazo Buró.</t>
  </si>
  <si>
    <t xml:space="preserve">15-sep error de captura. 25-sep error captura. 10-oct Rechazo Buró. </t>
  </si>
  <si>
    <t>24 ago Documentación incompleta. 19 sep Error captura. 15 oct Rechazo Buró</t>
  </si>
  <si>
    <t>15-oct Documentos ilegibles. 22 oct Rechazo Buró</t>
  </si>
  <si>
    <t>8 oct Rechazo Buró.</t>
  </si>
  <si>
    <t>14 sep Documentación incompleta.  2 oct Rechazo Buró</t>
  </si>
  <si>
    <t>14 sep Documentación incompleta. 25 sep Rechazo Buró</t>
  </si>
  <si>
    <t>12 jun documentación incompleta. 20 jul documentación. 2 ago error captura. 03 oct Rechazo Buró</t>
  </si>
  <si>
    <t>30 sep Rechazo Buró</t>
  </si>
  <si>
    <t>28-sep error captura. 7-oct documentación ilegible. 31-oct Rechazo Buró.</t>
  </si>
  <si>
    <t>17 ago error de captura. 26 jun documentos incompletos. 21 oct Rechazo Buró</t>
  </si>
  <si>
    <t>15-ago documentación incompleta. 30-sep Rechazo Buró.</t>
  </si>
  <si>
    <t>Aceptado Score</t>
  </si>
  <si>
    <t>Documentos recibidos</t>
  </si>
  <si>
    <t>Autorizada</t>
  </si>
  <si>
    <t>Tarea Ejecutivo 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</si>
</sst>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/>
    <xf numFmtId="0" fontId="0" fillId="0" borderId="0" xfId="0" applyAlignment="1">
      <alignment horizontal="center" vertical="center" wrapText="1"/>
    </xf>
    <xf numFmtId="1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44" fontId="0" fillId="0" borderId="0" xfId="1" applyFont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44" fontId="1" fillId="0" borderId="0" xfId="1" applyFont="1" applyAlignment="1">
      <alignment horizontal="center" vertical="center"/>
    </xf>
    <xf numFmtId="44" fontId="1" fillId="0" borderId="0" xfId="1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2"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Moneda" xfId="1" builtinId="4"/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workbookViewId="0">
      <selection activeCell="A16" sqref="A16"/>
    </sheetView>
  </sheetViews>
  <sheetFormatPr baseColWidth="10" defaultColWidth="8.83203125" defaultRowHeight="15" x14ac:dyDescent="0.2"/>
  <cols>
    <col min="1" max="1" width="9.1640625" style="1" customWidth="1"/>
    <col min="2" max="2" width="11.1640625" style="1" bestFit="1" customWidth="1"/>
    <col min="3" max="3" width="7.5" style="1" bestFit="1" customWidth="1"/>
    <col min="4" max="4" width="10.83203125" style="1" bestFit="1" customWidth="1"/>
    <col min="5" max="5" width="10" style="1" bestFit="1" customWidth="1"/>
    <col min="6" max="6" width="14.6640625" style="7" bestFit="1" customWidth="1"/>
    <col min="7" max="7" width="8.33203125" style="1" bestFit="1" customWidth="1"/>
    <col min="8" max="8" width="12.83203125" style="1" customWidth="1"/>
    <col min="9" max="9" width="17.5" style="1" customWidth="1"/>
    <col min="10" max="10" width="13.6640625" style="1" customWidth="1"/>
    <col min="11" max="11" width="14.33203125" style="1" customWidth="1"/>
    <col min="12" max="12" width="13.33203125" style="1" customWidth="1"/>
    <col min="13" max="13" width="5.1640625" style="1" bestFit="1" customWidth="1"/>
    <col min="14" max="14" width="17.5" style="1" customWidth="1"/>
    <col min="15" max="15" width="21.83203125" style="1" customWidth="1"/>
    <col min="16" max="16" width="16" style="1" customWidth="1"/>
    <col min="17" max="17" width="13" style="1" customWidth="1"/>
    <col min="18" max="18" width="15" style="1" customWidth="1"/>
    <col min="19" max="19" width="13.6640625" style="1" customWidth="1"/>
    <col min="20" max="20" width="11" style="1" customWidth="1"/>
    <col min="21" max="21" width="16.5" style="1" customWidth="1"/>
    <col min="22" max="22" width="14" style="1" customWidth="1"/>
    <col min="23" max="23" width="151.83203125" bestFit="1" customWidth="1"/>
  </cols>
  <sheetData>
    <row r="1" spans="1:23" s="3" customFormat="1" ht="44.25" customHeight="1" x14ac:dyDescent="0.2">
      <c r="A1" s="3" t="s">
        <v>113</v>
      </c>
      <c r="B1" s="3" t="s">
        <v>114</v>
      </c>
      <c r="C1" s="3" t="s">
        <v>115</v>
      </c>
      <c r="D1" s="3" t="s">
        <v>116</v>
      </c>
      <c r="E1" s="3" t="s">
        <v>117</v>
      </c>
      <c r="F1" s="3" t="s">
        <v>118</v>
      </c>
      <c r="G1" s="3" t="s">
        <v>119</v>
      </c>
      <c r="H1" s="3" t="s">
        <v>120</v>
      </c>
      <c r="I1" s="3" t="s">
        <v>121</v>
      </c>
      <c r="J1" s="3" t="s">
        <v>122</v>
      </c>
      <c r="K1" s="3" t="s">
        <v>123</v>
      </c>
      <c r="L1" s="3" t="s">
        <v>124</v>
      </c>
      <c r="M1" s="3" t="s">
        <v>125</v>
      </c>
      <c r="N1" s="3" t="s">
        <v>126</v>
      </c>
      <c r="O1" s="3" t="s">
        <v>127</v>
      </c>
      <c r="P1" s="3" t="s">
        <v>128</v>
      </c>
      <c r="Q1" s="3" t="s">
        <v>129</v>
      </c>
      <c r="R1" s="3" t="s">
        <v>130</v>
      </c>
      <c r="S1" s="3" t="s">
        <v>131</v>
      </c>
      <c r="T1" s="3" t="s">
        <v>132</v>
      </c>
      <c r="U1" s="3" t="s">
        <v>133</v>
      </c>
      <c r="V1" s="5" t="s">
        <v>134</v>
      </c>
      <c r="W1" s="6" t="s">
        <v>135</v>
      </c>
    </row>
    <row r="2" spans="1:23" x14ac:dyDescent="0.2">
      <c r="A2" s="1">
        <v>25</v>
      </c>
      <c r="B2" s="1">
        <v>112786</v>
      </c>
      <c r="C2" s="1">
        <v>61</v>
      </c>
      <c r="D2" s="1" t="s">
        <v>106</v>
      </c>
      <c r="E2" s="1" t="s">
        <v>109</v>
      </c>
      <c r="F2" t="s">
        <v>22</v>
      </c>
      <c r="G2">
        <v>455</v>
      </c>
      <c r="H2" s="1">
        <v>9</v>
      </c>
      <c r="I2" s="1">
        <v>77</v>
      </c>
      <c r="J2" s="1">
        <v>29</v>
      </c>
      <c r="K2" s="4">
        <v>42248</v>
      </c>
      <c r="L2" s="4">
        <v>42282</v>
      </c>
      <c r="M2" s="1">
        <v>3</v>
      </c>
      <c r="N2" s="4">
        <v>42282</v>
      </c>
      <c r="O2" s="4">
        <v>42284</v>
      </c>
      <c r="P2" s="1" t="str">
        <f>IF(I2&gt;70, "Accepted", "Rejected")</f>
        <v>Accepted</v>
      </c>
      <c r="Q2" s="4">
        <v>42286</v>
      </c>
      <c r="R2" s="1" t="str">
        <f>IF(P2="Accepted",IF(J2&gt;20, "Accepted", "Rejected"), "Rejected")</f>
        <v>Accepted</v>
      </c>
      <c r="S2" s="4">
        <v>42287</v>
      </c>
      <c r="T2" s="4">
        <v>42290</v>
      </c>
      <c r="U2" s="1" t="s">
        <v>136</v>
      </c>
      <c r="V2" s="8">
        <v>26700</v>
      </c>
      <c r="W2" t="s">
        <v>23</v>
      </c>
    </row>
    <row r="3" spans="1:23" x14ac:dyDescent="0.2">
      <c r="A3" s="1">
        <v>30</v>
      </c>
      <c r="B3" s="1">
        <v>113077</v>
      </c>
      <c r="C3" s="1">
        <v>46</v>
      </c>
      <c r="D3" s="1" t="s">
        <v>106</v>
      </c>
      <c r="E3" s="1" t="s">
        <v>110</v>
      </c>
      <c r="F3" t="s">
        <v>42</v>
      </c>
      <c r="G3">
        <v>467</v>
      </c>
      <c r="H3" s="1">
        <v>8</v>
      </c>
      <c r="I3" s="1">
        <v>70</v>
      </c>
      <c r="J3" s="1">
        <v>19</v>
      </c>
      <c r="K3" s="4">
        <v>42234</v>
      </c>
      <c r="L3" s="4">
        <v>42241</v>
      </c>
      <c r="M3" s="1">
        <v>2</v>
      </c>
      <c r="N3" s="4">
        <v>42245</v>
      </c>
      <c r="O3" s="4">
        <v>42249</v>
      </c>
      <c r="P3" s="1" t="s">
        <v>111</v>
      </c>
      <c r="Q3" s="4">
        <v>42250</v>
      </c>
      <c r="R3" s="1" t="s">
        <v>112</v>
      </c>
      <c r="S3" s="4">
        <v>42250</v>
      </c>
      <c r="U3" s="1" t="s">
        <v>137</v>
      </c>
      <c r="V3" s="8"/>
      <c r="W3" t="s">
        <v>138</v>
      </c>
    </row>
    <row r="4" spans="1:23" x14ac:dyDescent="0.2">
      <c r="A4" s="1">
        <v>15</v>
      </c>
      <c r="B4" s="1">
        <v>123675</v>
      </c>
      <c r="C4" s="1">
        <v>67</v>
      </c>
      <c r="D4" s="1" t="s">
        <v>106</v>
      </c>
      <c r="E4" s="1" t="s">
        <v>110</v>
      </c>
      <c r="F4" t="s">
        <v>5</v>
      </c>
      <c r="G4">
        <v>453</v>
      </c>
      <c r="H4" s="1">
        <v>7</v>
      </c>
      <c r="I4" s="1">
        <v>90</v>
      </c>
      <c r="J4" s="1">
        <v>28</v>
      </c>
      <c r="K4" s="4">
        <v>42219</v>
      </c>
      <c r="L4" s="4">
        <v>42247</v>
      </c>
      <c r="M4" s="1">
        <v>3</v>
      </c>
      <c r="N4" s="4">
        <v>42252</v>
      </c>
      <c r="O4" s="4">
        <v>42256</v>
      </c>
      <c r="P4" s="1" t="str">
        <f t="shared" ref="P4:P47" si="0">IF(I4&gt;70, "Accepted", "Rejected")</f>
        <v>Accepted</v>
      </c>
      <c r="Q4" s="4">
        <v>42258</v>
      </c>
      <c r="R4" s="1" t="str">
        <f t="shared" ref="R4:R9" si="1">IF(P4="Accepted",IF(J4&gt;20, "Accepted", "Rejected"), "Rejected")</f>
        <v>Accepted</v>
      </c>
      <c r="S4" s="4">
        <v>42258</v>
      </c>
      <c r="T4" s="4">
        <v>42264</v>
      </c>
      <c r="U4" s="1" t="s">
        <v>136</v>
      </c>
      <c r="V4" s="8">
        <v>56000</v>
      </c>
      <c r="W4" t="s">
        <v>27</v>
      </c>
    </row>
    <row r="5" spans="1:23" x14ac:dyDescent="0.2">
      <c r="A5" s="1">
        <v>96</v>
      </c>
      <c r="B5" s="1">
        <v>126893</v>
      </c>
      <c r="C5" s="1">
        <v>20</v>
      </c>
      <c r="D5" s="1" t="s">
        <v>108</v>
      </c>
      <c r="E5" s="1" t="s">
        <v>110</v>
      </c>
      <c r="F5" t="s">
        <v>13</v>
      </c>
      <c r="G5">
        <v>364</v>
      </c>
      <c r="H5" s="1">
        <v>6</v>
      </c>
      <c r="I5" s="1">
        <v>84</v>
      </c>
      <c r="J5" s="1">
        <v>25</v>
      </c>
      <c r="K5" s="4">
        <v>42283</v>
      </c>
      <c r="L5" s="4">
        <v>42283</v>
      </c>
      <c r="M5" s="1">
        <v>1</v>
      </c>
      <c r="N5" s="4">
        <v>42284</v>
      </c>
      <c r="O5" s="4">
        <v>42286</v>
      </c>
      <c r="P5" s="1" t="str">
        <f t="shared" si="0"/>
        <v>Accepted</v>
      </c>
      <c r="Q5" s="4">
        <v>42288</v>
      </c>
      <c r="R5" s="1" t="str">
        <f t="shared" si="1"/>
        <v>Accepted</v>
      </c>
      <c r="S5" s="4">
        <v>42288</v>
      </c>
      <c r="T5" s="4">
        <v>42295</v>
      </c>
      <c r="U5" s="1" t="s">
        <v>136</v>
      </c>
      <c r="V5" s="8">
        <v>39100</v>
      </c>
      <c r="W5" t="s">
        <v>84</v>
      </c>
    </row>
    <row r="6" spans="1:23" x14ac:dyDescent="0.2">
      <c r="A6" s="1">
        <v>4</v>
      </c>
      <c r="B6" s="1">
        <v>171618</v>
      </c>
      <c r="C6" s="1">
        <v>56</v>
      </c>
      <c r="D6" s="1" t="s">
        <v>106</v>
      </c>
      <c r="E6" s="1" t="s">
        <v>109</v>
      </c>
      <c r="F6" t="s">
        <v>24</v>
      </c>
      <c r="G6">
        <v>479</v>
      </c>
      <c r="H6" s="1">
        <v>12</v>
      </c>
      <c r="I6" s="1">
        <v>96</v>
      </c>
      <c r="J6" s="1">
        <v>25</v>
      </c>
      <c r="K6" s="4">
        <v>42250</v>
      </c>
      <c r="L6" s="4">
        <v>42281</v>
      </c>
      <c r="M6" s="1">
        <v>2</v>
      </c>
      <c r="N6" s="4">
        <v>42283</v>
      </c>
      <c r="O6" s="4">
        <v>42285</v>
      </c>
      <c r="P6" s="1" t="str">
        <f t="shared" si="0"/>
        <v>Accepted</v>
      </c>
      <c r="Q6" s="4">
        <v>42289</v>
      </c>
      <c r="R6" s="1" t="str">
        <f t="shared" si="1"/>
        <v>Accepted</v>
      </c>
      <c r="S6" s="4">
        <v>42290</v>
      </c>
      <c r="T6" s="4">
        <v>42294</v>
      </c>
      <c r="U6" s="1" t="s">
        <v>136</v>
      </c>
      <c r="V6" s="10">
        <v>123000</v>
      </c>
      <c r="W6" t="s">
        <v>25</v>
      </c>
    </row>
    <row r="7" spans="1:23" x14ac:dyDescent="0.2">
      <c r="A7" s="1">
        <v>23</v>
      </c>
      <c r="B7" s="1">
        <v>179532</v>
      </c>
      <c r="C7" s="1">
        <v>22</v>
      </c>
      <c r="D7" s="1" t="s">
        <v>108</v>
      </c>
      <c r="E7" s="1" t="s">
        <v>110</v>
      </c>
      <c r="F7" t="s">
        <v>3</v>
      </c>
      <c r="G7">
        <v>110</v>
      </c>
      <c r="H7" s="1">
        <v>2</v>
      </c>
      <c r="I7" s="1">
        <v>76</v>
      </c>
      <c r="J7" s="1">
        <v>26</v>
      </c>
      <c r="K7" s="4">
        <v>42268</v>
      </c>
      <c r="L7" s="4">
        <v>42284</v>
      </c>
      <c r="M7" s="1">
        <v>2</v>
      </c>
      <c r="N7" s="4">
        <v>42286</v>
      </c>
      <c r="O7" s="4">
        <v>42286</v>
      </c>
      <c r="P7" s="1" t="str">
        <f t="shared" si="0"/>
        <v>Accepted</v>
      </c>
      <c r="Q7" s="4">
        <v>42288</v>
      </c>
      <c r="R7" s="1" t="str">
        <f t="shared" si="1"/>
        <v>Accepted</v>
      </c>
      <c r="S7" s="4">
        <v>42289</v>
      </c>
      <c r="T7" s="4">
        <v>42292</v>
      </c>
      <c r="U7" s="1" t="s">
        <v>136</v>
      </c>
      <c r="V7" s="8">
        <v>35500</v>
      </c>
      <c r="W7" t="s">
        <v>72</v>
      </c>
    </row>
    <row r="8" spans="1:23" ht="16" x14ac:dyDescent="0.2">
      <c r="A8" s="1">
        <v>78</v>
      </c>
      <c r="B8" s="1">
        <v>190955</v>
      </c>
      <c r="C8" s="1">
        <v>18</v>
      </c>
      <c r="D8" s="1" t="s">
        <v>106</v>
      </c>
      <c r="E8" s="1" t="s">
        <v>109</v>
      </c>
      <c r="F8" t="s">
        <v>42</v>
      </c>
      <c r="G8">
        <v>352</v>
      </c>
      <c r="H8" s="1">
        <v>1</v>
      </c>
      <c r="I8" s="1">
        <v>83</v>
      </c>
      <c r="J8" s="1">
        <v>22</v>
      </c>
      <c r="K8" s="4">
        <v>42274</v>
      </c>
      <c r="L8" s="4">
        <v>42292</v>
      </c>
      <c r="M8" s="1">
        <v>2</v>
      </c>
      <c r="N8" s="4">
        <v>42295</v>
      </c>
      <c r="O8" s="4">
        <v>42299</v>
      </c>
      <c r="P8" s="1" t="str">
        <f t="shared" si="0"/>
        <v>Accepted</v>
      </c>
      <c r="Q8" s="4">
        <v>42301</v>
      </c>
      <c r="R8" s="1" t="str">
        <f t="shared" si="1"/>
        <v>Accepted</v>
      </c>
      <c r="S8" s="4">
        <v>42301</v>
      </c>
      <c r="U8" s="1" t="s">
        <v>164</v>
      </c>
      <c r="V8" s="8"/>
      <c r="W8" s="12" t="s">
        <v>103</v>
      </c>
    </row>
    <row r="9" spans="1:23" x14ac:dyDescent="0.2">
      <c r="A9" s="1">
        <v>84</v>
      </c>
      <c r="B9" s="1">
        <v>203304</v>
      </c>
      <c r="C9" s="1">
        <v>47</v>
      </c>
      <c r="D9" s="1" t="s">
        <v>106</v>
      </c>
      <c r="E9" s="1" t="s">
        <v>109</v>
      </c>
      <c r="F9" t="s">
        <v>9</v>
      </c>
      <c r="G9">
        <v>477</v>
      </c>
      <c r="H9" s="1">
        <v>7</v>
      </c>
      <c r="I9" s="1">
        <v>86</v>
      </c>
      <c r="J9" s="1">
        <v>21</v>
      </c>
      <c r="K9" s="4">
        <v>42246</v>
      </c>
      <c r="L9" s="4">
        <v>42272</v>
      </c>
      <c r="M9" s="1">
        <v>2</v>
      </c>
      <c r="N9" s="4">
        <v>42273</v>
      </c>
      <c r="O9" s="4">
        <v>42276</v>
      </c>
      <c r="P9" s="1" t="str">
        <f t="shared" si="0"/>
        <v>Accepted</v>
      </c>
      <c r="Q9" s="4">
        <v>42277</v>
      </c>
      <c r="R9" s="1" t="str">
        <f t="shared" si="1"/>
        <v>Accepted</v>
      </c>
      <c r="S9" s="4">
        <v>42277</v>
      </c>
      <c r="T9" s="4">
        <v>42282</v>
      </c>
      <c r="U9" s="1" t="s">
        <v>136</v>
      </c>
      <c r="V9" s="8">
        <v>34000</v>
      </c>
      <c r="W9" t="s">
        <v>90</v>
      </c>
    </row>
    <row r="10" spans="1:23" x14ac:dyDescent="0.2">
      <c r="A10" s="1">
        <v>32</v>
      </c>
      <c r="B10" s="1">
        <v>212147</v>
      </c>
      <c r="C10" s="1">
        <v>47</v>
      </c>
      <c r="D10" s="1" t="s">
        <v>106</v>
      </c>
      <c r="E10" s="1" t="s">
        <v>109</v>
      </c>
      <c r="F10" t="s">
        <v>2</v>
      </c>
      <c r="G10">
        <v>199</v>
      </c>
      <c r="H10" s="1">
        <v>9</v>
      </c>
      <c r="I10" s="1">
        <v>64</v>
      </c>
      <c r="J10" s="1" t="s">
        <v>1</v>
      </c>
      <c r="K10" s="4">
        <v>42266</v>
      </c>
      <c r="L10" s="4">
        <v>42266</v>
      </c>
      <c r="M10" s="1">
        <v>1</v>
      </c>
      <c r="N10" s="4">
        <v>42272</v>
      </c>
      <c r="O10" s="4">
        <v>42277</v>
      </c>
      <c r="P10" s="1" t="str">
        <f t="shared" si="0"/>
        <v>Rejected</v>
      </c>
      <c r="Q10" s="4">
        <v>42279</v>
      </c>
      <c r="R10" s="1" t="s">
        <v>1</v>
      </c>
      <c r="S10" s="1" t="s">
        <v>1</v>
      </c>
      <c r="U10" s="1" t="s">
        <v>148</v>
      </c>
      <c r="V10" s="8"/>
      <c r="W10" t="s">
        <v>58</v>
      </c>
    </row>
    <row r="11" spans="1:23" x14ac:dyDescent="0.2">
      <c r="A11" s="1">
        <v>64</v>
      </c>
      <c r="B11" s="1">
        <v>214980</v>
      </c>
      <c r="C11" s="1">
        <v>31</v>
      </c>
      <c r="D11" s="1" t="s">
        <v>106</v>
      </c>
      <c r="E11" s="1" t="s">
        <v>110</v>
      </c>
      <c r="F11" t="s">
        <v>10</v>
      </c>
      <c r="G11">
        <v>687</v>
      </c>
      <c r="H11" s="1">
        <v>6</v>
      </c>
      <c r="I11" s="1">
        <v>90</v>
      </c>
      <c r="J11" s="1">
        <v>28</v>
      </c>
      <c r="K11" s="4">
        <v>42229</v>
      </c>
      <c r="L11" s="4">
        <v>42247</v>
      </c>
      <c r="M11" s="1">
        <v>3</v>
      </c>
      <c r="N11" s="4">
        <v>42250</v>
      </c>
      <c r="O11" s="4">
        <v>42258</v>
      </c>
      <c r="P11" s="1" t="str">
        <f t="shared" si="0"/>
        <v>Accepted</v>
      </c>
      <c r="Q11" s="4">
        <v>42264</v>
      </c>
      <c r="R11" s="1" t="str">
        <f>IF(P11="Accepted",IF(J11&gt;20, "Accepted", "Rejected"), "Rejected")</f>
        <v>Accepted</v>
      </c>
      <c r="S11" s="4">
        <v>42264</v>
      </c>
      <c r="T11" s="4">
        <v>42269</v>
      </c>
      <c r="U11" s="1" t="s">
        <v>136</v>
      </c>
      <c r="V11" s="9">
        <v>32000</v>
      </c>
      <c r="W11" t="s">
        <v>41</v>
      </c>
    </row>
    <row r="12" spans="1:23" x14ac:dyDescent="0.2">
      <c r="A12" s="1">
        <v>20</v>
      </c>
      <c r="B12" s="1">
        <v>222098</v>
      </c>
      <c r="C12" s="1">
        <v>57</v>
      </c>
      <c r="D12" s="1" t="s">
        <v>106</v>
      </c>
      <c r="E12" s="1" t="s">
        <v>109</v>
      </c>
      <c r="F12" t="s">
        <v>2</v>
      </c>
      <c r="G12">
        <v>243</v>
      </c>
      <c r="H12" s="1">
        <v>9</v>
      </c>
      <c r="I12" s="1">
        <v>43</v>
      </c>
      <c r="J12" s="1" t="s">
        <v>1</v>
      </c>
      <c r="K12" s="4">
        <v>42243</v>
      </c>
      <c r="L12" s="4">
        <v>42259</v>
      </c>
      <c r="M12" s="1">
        <v>3</v>
      </c>
      <c r="N12" s="4">
        <v>42261</v>
      </c>
      <c r="O12" s="4">
        <v>42266</v>
      </c>
      <c r="P12" s="1" t="str">
        <f t="shared" si="0"/>
        <v>Rejected</v>
      </c>
      <c r="Q12" s="4">
        <v>42269</v>
      </c>
      <c r="R12" s="1" t="s">
        <v>1</v>
      </c>
      <c r="S12" s="1" t="s">
        <v>1</v>
      </c>
      <c r="U12" s="1" t="s">
        <v>148</v>
      </c>
      <c r="V12" s="8"/>
      <c r="W12" t="s">
        <v>44</v>
      </c>
    </row>
    <row r="13" spans="1:23" x14ac:dyDescent="0.2">
      <c r="A13" s="1">
        <v>12</v>
      </c>
      <c r="B13" s="1">
        <v>222411</v>
      </c>
      <c r="C13" s="1">
        <v>59</v>
      </c>
      <c r="D13" s="1" t="s">
        <v>106</v>
      </c>
      <c r="E13" s="1" t="s">
        <v>109</v>
      </c>
      <c r="F13" t="s">
        <v>6</v>
      </c>
      <c r="G13">
        <v>676</v>
      </c>
      <c r="H13" s="1">
        <v>7</v>
      </c>
      <c r="I13" s="1">
        <v>93</v>
      </c>
      <c r="J13" s="1">
        <v>29</v>
      </c>
      <c r="K13" s="4">
        <v>42253</v>
      </c>
      <c r="L13" s="4">
        <v>42274</v>
      </c>
      <c r="M13" s="1">
        <v>2</v>
      </c>
      <c r="N13" s="4">
        <v>42279</v>
      </c>
      <c r="O13" s="4">
        <v>42282</v>
      </c>
      <c r="P13" s="1" t="str">
        <f t="shared" si="0"/>
        <v>Accepted</v>
      </c>
      <c r="Q13" s="4">
        <v>42282</v>
      </c>
      <c r="R13" s="1" t="str">
        <f>IF(P13="Accepted",IF(J13&gt;20, "Accepted", "Rejected"), "Rejected")</f>
        <v>Accepted</v>
      </c>
      <c r="S13" s="4">
        <v>42283</v>
      </c>
      <c r="T13" s="4">
        <v>42286</v>
      </c>
      <c r="U13" s="1" t="s">
        <v>136</v>
      </c>
      <c r="V13" s="8">
        <v>38000</v>
      </c>
      <c r="W13" t="s">
        <v>36</v>
      </c>
    </row>
    <row r="14" spans="1:23" x14ac:dyDescent="0.2">
      <c r="A14" s="1">
        <v>11</v>
      </c>
      <c r="B14" s="1">
        <v>224590</v>
      </c>
      <c r="C14" s="1">
        <v>62</v>
      </c>
      <c r="D14" s="1" t="s">
        <v>106</v>
      </c>
      <c r="E14" s="1" t="s">
        <v>110</v>
      </c>
      <c r="F14" t="s">
        <v>10</v>
      </c>
      <c r="G14">
        <v>214</v>
      </c>
      <c r="H14" s="1">
        <v>16</v>
      </c>
      <c r="I14" s="1">
        <v>85</v>
      </c>
      <c r="J14" s="1">
        <v>22</v>
      </c>
      <c r="K14" s="4">
        <v>42193</v>
      </c>
      <c r="L14" s="4">
        <v>42260</v>
      </c>
      <c r="M14" s="1">
        <v>3</v>
      </c>
      <c r="N14" s="4">
        <v>42262</v>
      </c>
      <c r="O14" s="4">
        <v>42267</v>
      </c>
      <c r="P14" s="1" t="str">
        <f t="shared" si="0"/>
        <v>Accepted</v>
      </c>
      <c r="Q14" s="4">
        <v>42269</v>
      </c>
      <c r="R14" s="1" t="str">
        <f>IF(P14="Accepted",IF(J14&gt;20, "Accepted", "Rejected"), "Rejected")</f>
        <v>Accepted</v>
      </c>
      <c r="S14" s="4">
        <v>42269</v>
      </c>
      <c r="T14" s="4">
        <v>42272</v>
      </c>
      <c r="U14" s="1" t="s">
        <v>136</v>
      </c>
      <c r="V14" s="8">
        <v>69000</v>
      </c>
      <c r="W14" t="s">
        <v>11</v>
      </c>
    </row>
    <row r="15" spans="1:23" x14ac:dyDescent="0.2">
      <c r="A15" s="1">
        <v>66</v>
      </c>
      <c r="B15" s="1">
        <v>230148</v>
      </c>
      <c r="C15" s="1">
        <v>27</v>
      </c>
      <c r="D15" s="1" t="s">
        <v>108</v>
      </c>
      <c r="E15" s="1" t="s">
        <v>109</v>
      </c>
      <c r="F15" t="s">
        <v>42</v>
      </c>
      <c r="G15">
        <v>467</v>
      </c>
      <c r="H15" s="1">
        <v>4</v>
      </c>
      <c r="I15" s="1">
        <v>48</v>
      </c>
      <c r="J15" s="1" t="s">
        <v>1</v>
      </c>
      <c r="K15" s="4">
        <v>42266</v>
      </c>
      <c r="L15" s="4">
        <v>42277</v>
      </c>
      <c r="M15" s="1">
        <v>2</v>
      </c>
      <c r="N15" s="4">
        <v>42286</v>
      </c>
      <c r="O15" s="4">
        <v>42299</v>
      </c>
      <c r="P15" s="1" t="str">
        <f t="shared" si="0"/>
        <v>Rejected</v>
      </c>
      <c r="Q15" s="4">
        <v>42304</v>
      </c>
      <c r="R15" s="1" t="s">
        <v>1</v>
      </c>
      <c r="S15" s="1" t="s">
        <v>1</v>
      </c>
      <c r="U15" s="1" t="s">
        <v>148</v>
      </c>
      <c r="V15" s="9"/>
      <c r="W15" t="s">
        <v>47</v>
      </c>
    </row>
    <row r="16" spans="1:23" x14ac:dyDescent="0.2">
      <c r="A16" s="1">
        <v>76</v>
      </c>
      <c r="B16" s="1">
        <v>230848</v>
      </c>
      <c r="C16" s="1">
        <v>50</v>
      </c>
      <c r="D16" s="1" t="s">
        <v>108</v>
      </c>
      <c r="E16" s="1" t="s">
        <v>110</v>
      </c>
      <c r="F16" t="s">
        <v>5</v>
      </c>
      <c r="G16">
        <v>283</v>
      </c>
      <c r="H16" s="1">
        <v>19</v>
      </c>
      <c r="I16" s="1">
        <v>71</v>
      </c>
      <c r="J16" s="1">
        <v>19</v>
      </c>
      <c r="K16" s="4">
        <v>42246</v>
      </c>
      <c r="L16" s="4">
        <v>42297</v>
      </c>
      <c r="M16" s="1">
        <v>3</v>
      </c>
      <c r="N16" s="4">
        <v>42303</v>
      </c>
      <c r="O16" s="4">
        <v>42305</v>
      </c>
      <c r="P16" s="1" t="str">
        <f t="shared" si="0"/>
        <v>Accepted</v>
      </c>
      <c r="Q16" s="4">
        <v>42306</v>
      </c>
      <c r="R16" s="1" t="str">
        <f>IF(P16="Accepted",IF(J16&gt;20, "Accepted", "Rejected"), "Rejected")</f>
        <v>Rejected</v>
      </c>
      <c r="S16" s="4">
        <v>42306</v>
      </c>
      <c r="U16" s="1" t="s">
        <v>137</v>
      </c>
      <c r="V16" s="8"/>
      <c r="W16" t="s">
        <v>139</v>
      </c>
    </row>
    <row r="17" spans="1:23" x14ac:dyDescent="0.2">
      <c r="A17" s="1">
        <v>9</v>
      </c>
      <c r="B17" s="1">
        <v>230971</v>
      </c>
      <c r="C17" s="1">
        <v>33</v>
      </c>
      <c r="D17" s="1" t="s">
        <v>106</v>
      </c>
      <c r="E17" s="1" t="s">
        <v>109</v>
      </c>
      <c r="F17" t="s">
        <v>6</v>
      </c>
      <c r="G17">
        <v>413</v>
      </c>
      <c r="H17" s="1">
        <v>8</v>
      </c>
      <c r="I17" s="1">
        <v>88</v>
      </c>
      <c r="J17" s="1">
        <v>24</v>
      </c>
      <c r="K17" s="4">
        <v>42219</v>
      </c>
      <c r="L17" s="4">
        <v>42243</v>
      </c>
      <c r="M17" s="1">
        <v>2</v>
      </c>
      <c r="N17" s="4">
        <v>42245</v>
      </c>
      <c r="O17" s="4">
        <v>42248</v>
      </c>
      <c r="P17" s="1" t="str">
        <f t="shared" si="0"/>
        <v>Accepted</v>
      </c>
      <c r="Q17" s="4">
        <v>42253</v>
      </c>
      <c r="R17" s="1" t="str">
        <f>IF(P17="Accepted",IF(J17&gt;20, "Accepted", "Rejected"), "Rejected")</f>
        <v>Accepted</v>
      </c>
      <c r="S17" s="4">
        <v>42254</v>
      </c>
      <c r="T17" s="4">
        <v>42257</v>
      </c>
      <c r="U17" s="1" t="s">
        <v>136</v>
      </c>
      <c r="V17" s="8">
        <v>30921</v>
      </c>
      <c r="W17" t="s">
        <v>30</v>
      </c>
    </row>
    <row r="18" spans="1:23" x14ac:dyDescent="0.2">
      <c r="A18" s="1">
        <v>24</v>
      </c>
      <c r="B18" s="1">
        <v>232278</v>
      </c>
      <c r="C18" s="1">
        <v>29</v>
      </c>
      <c r="D18" s="1" t="s">
        <v>108</v>
      </c>
      <c r="E18" s="1" t="s">
        <v>110</v>
      </c>
      <c r="F18" t="s">
        <v>2</v>
      </c>
      <c r="G18">
        <v>150</v>
      </c>
      <c r="H18" s="1">
        <v>4</v>
      </c>
      <c r="I18" s="1">
        <v>62</v>
      </c>
      <c r="J18" s="1" t="s">
        <v>1</v>
      </c>
      <c r="K18" s="4">
        <v>42234</v>
      </c>
      <c r="L18" s="4">
        <v>42234</v>
      </c>
      <c r="M18" s="1">
        <v>1</v>
      </c>
      <c r="N18" s="4">
        <v>42241</v>
      </c>
      <c r="O18" s="4">
        <v>42245</v>
      </c>
      <c r="P18" s="1" t="str">
        <f t="shared" si="0"/>
        <v>Rejected</v>
      </c>
      <c r="Q18" s="4">
        <v>42248</v>
      </c>
      <c r="R18" s="1" t="s">
        <v>1</v>
      </c>
      <c r="S18" s="1" t="s">
        <v>1</v>
      </c>
      <c r="U18" s="1" t="s">
        <v>148</v>
      </c>
      <c r="V18" s="8"/>
      <c r="W18" t="s">
        <v>57</v>
      </c>
    </row>
    <row r="19" spans="1:23" x14ac:dyDescent="0.2">
      <c r="A19" s="1">
        <v>6</v>
      </c>
      <c r="B19" s="1">
        <v>232426</v>
      </c>
      <c r="C19" s="1">
        <v>21</v>
      </c>
      <c r="D19" s="1" t="s">
        <v>108</v>
      </c>
      <c r="E19" s="1" t="s">
        <v>109</v>
      </c>
      <c r="F19" t="s">
        <v>3</v>
      </c>
      <c r="G19">
        <v>681</v>
      </c>
      <c r="H19" s="1">
        <v>1</v>
      </c>
      <c r="I19" s="1">
        <v>72</v>
      </c>
      <c r="J19" s="1">
        <v>15</v>
      </c>
      <c r="K19" s="4">
        <v>42223</v>
      </c>
      <c r="L19" s="4">
        <v>42223</v>
      </c>
      <c r="M19" s="1">
        <v>1</v>
      </c>
      <c r="N19" s="4">
        <v>42225</v>
      </c>
      <c r="O19" s="4">
        <v>42228</v>
      </c>
      <c r="P19" s="1" t="str">
        <f t="shared" si="0"/>
        <v>Accepted</v>
      </c>
      <c r="Q19" s="4">
        <v>42234</v>
      </c>
      <c r="R19" s="1" t="str">
        <f>IF(P19="Accepted",IF(J19&gt;20, "Accepted", "Rejected"), "Rejected")</f>
        <v>Rejected</v>
      </c>
      <c r="S19" s="4">
        <v>42235</v>
      </c>
      <c r="U19" s="1" t="s">
        <v>137</v>
      </c>
      <c r="V19" s="8"/>
      <c r="W19" t="s">
        <v>140</v>
      </c>
    </row>
    <row r="20" spans="1:23" x14ac:dyDescent="0.2">
      <c r="A20" s="1">
        <v>92</v>
      </c>
      <c r="B20" s="1">
        <v>234031</v>
      </c>
      <c r="C20" s="1">
        <v>28</v>
      </c>
      <c r="D20" s="1" t="s">
        <v>108</v>
      </c>
      <c r="E20" s="1" t="s">
        <v>110</v>
      </c>
      <c r="F20" t="s">
        <v>12</v>
      </c>
      <c r="G20">
        <v>310</v>
      </c>
      <c r="H20" s="1">
        <v>1</v>
      </c>
      <c r="I20" s="1">
        <v>40</v>
      </c>
      <c r="J20" s="1" t="s">
        <v>1</v>
      </c>
      <c r="K20" s="4">
        <v>42260</v>
      </c>
      <c r="L20" s="4">
        <v>42297</v>
      </c>
      <c r="M20" s="1">
        <v>2</v>
      </c>
      <c r="N20" s="4">
        <v>42298</v>
      </c>
      <c r="O20" s="4">
        <v>42300</v>
      </c>
      <c r="P20" s="1" t="str">
        <f t="shared" si="0"/>
        <v>Rejected</v>
      </c>
      <c r="Q20" s="4">
        <v>42300</v>
      </c>
      <c r="R20" s="1" t="s">
        <v>1</v>
      </c>
      <c r="S20" s="1" t="s">
        <v>1</v>
      </c>
      <c r="U20" s="1" t="s">
        <v>148</v>
      </c>
      <c r="V20" s="8"/>
      <c r="W20" t="s">
        <v>149</v>
      </c>
    </row>
    <row r="21" spans="1:23" x14ac:dyDescent="0.2">
      <c r="A21" s="1">
        <v>17</v>
      </c>
      <c r="B21" s="1">
        <v>236787</v>
      </c>
      <c r="C21" s="1">
        <v>19</v>
      </c>
      <c r="D21" s="1" t="s">
        <v>108</v>
      </c>
      <c r="E21" s="1" t="s">
        <v>109</v>
      </c>
      <c r="F21" t="s">
        <v>3</v>
      </c>
      <c r="G21">
        <v>110</v>
      </c>
      <c r="H21" s="1">
        <v>8</v>
      </c>
      <c r="I21" s="1">
        <v>44</v>
      </c>
      <c r="J21" s="1" t="s">
        <v>1</v>
      </c>
      <c r="K21" s="4">
        <v>42194</v>
      </c>
      <c r="L21" s="4">
        <v>42215</v>
      </c>
      <c r="M21" s="1">
        <v>2</v>
      </c>
      <c r="N21" s="4">
        <v>42227</v>
      </c>
      <c r="O21" s="4">
        <v>42232</v>
      </c>
      <c r="P21" s="1" t="str">
        <f t="shared" si="0"/>
        <v>Rejected</v>
      </c>
      <c r="Q21" s="4">
        <v>42233</v>
      </c>
      <c r="R21" s="1" t="s">
        <v>1</v>
      </c>
      <c r="S21" s="1" t="s">
        <v>1</v>
      </c>
      <c r="U21" s="1" t="s">
        <v>148</v>
      </c>
      <c r="V21" s="8"/>
      <c r="W21" t="s">
        <v>59</v>
      </c>
    </row>
    <row r="22" spans="1:23" x14ac:dyDescent="0.2">
      <c r="A22" s="1">
        <v>91</v>
      </c>
      <c r="B22" s="1">
        <v>236954</v>
      </c>
      <c r="C22" s="1">
        <v>45</v>
      </c>
      <c r="D22" s="1" t="s">
        <v>108</v>
      </c>
      <c r="E22" s="1" t="s">
        <v>109</v>
      </c>
      <c r="F22" t="s">
        <v>14</v>
      </c>
      <c r="G22">
        <v>263</v>
      </c>
      <c r="H22" s="1">
        <v>4</v>
      </c>
      <c r="I22" s="1">
        <v>82</v>
      </c>
      <c r="J22" s="1">
        <v>28</v>
      </c>
      <c r="K22" s="4">
        <v>42276</v>
      </c>
      <c r="L22" s="4">
        <v>42295</v>
      </c>
      <c r="M22" s="1">
        <v>3</v>
      </c>
      <c r="N22" s="4">
        <v>42297</v>
      </c>
      <c r="O22" s="4">
        <v>42299</v>
      </c>
      <c r="P22" s="1" t="str">
        <f t="shared" si="0"/>
        <v>Accepted</v>
      </c>
      <c r="Q22" s="4">
        <v>42301</v>
      </c>
      <c r="R22" s="1" t="str">
        <f>IF(P22="Accepted",IF(J22&gt;20, "Accepted", "Rejected"), "Rejected")</f>
        <v>Accepted</v>
      </c>
      <c r="S22" s="4">
        <v>42301</v>
      </c>
      <c r="T22" s="4">
        <v>42303</v>
      </c>
      <c r="U22" s="1" t="s">
        <v>136</v>
      </c>
      <c r="V22" s="8">
        <v>42300</v>
      </c>
      <c r="W22" t="s">
        <v>78</v>
      </c>
    </row>
    <row r="23" spans="1:23" x14ac:dyDescent="0.2">
      <c r="A23" s="1">
        <v>99</v>
      </c>
      <c r="B23" s="1">
        <v>241677</v>
      </c>
      <c r="C23" s="1">
        <v>46</v>
      </c>
      <c r="D23" s="1" t="s">
        <v>108</v>
      </c>
      <c r="E23" s="1" t="s">
        <v>109</v>
      </c>
      <c r="F23" t="s">
        <v>3</v>
      </c>
      <c r="G23">
        <v>198</v>
      </c>
      <c r="H23" s="1">
        <v>9</v>
      </c>
      <c r="I23" s="1">
        <v>92</v>
      </c>
      <c r="J23" s="1">
        <v>27</v>
      </c>
      <c r="K23" s="4">
        <v>42272</v>
      </c>
      <c r="L23" s="4">
        <v>42272</v>
      </c>
      <c r="M23" s="1">
        <v>1</v>
      </c>
      <c r="N23" s="4">
        <v>42273</v>
      </c>
      <c r="O23" s="4">
        <v>42277</v>
      </c>
      <c r="P23" s="1" t="str">
        <f t="shared" si="0"/>
        <v>Accepted</v>
      </c>
      <c r="Q23" s="4">
        <v>42277</v>
      </c>
      <c r="R23" s="1" t="str">
        <f>IF(P23="Accepted",IF(J23&gt;20, "Accepted", "Rejected"), "Rejected")</f>
        <v>Accepted</v>
      </c>
      <c r="S23" s="4">
        <v>42277</v>
      </c>
      <c r="T23" s="4">
        <v>42283</v>
      </c>
      <c r="U23" s="1" t="s">
        <v>136</v>
      </c>
      <c r="V23" s="8">
        <v>58500</v>
      </c>
      <c r="W23" t="s">
        <v>75</v>
      </c>
    </row>
    <row r="24" spans="1:23" x14ac:dyDescent="0.2">
      <c r="A24" s="1">
        <v>52</v>
      </c>
      <c r="B24" s="1">
        <v>248302</v>
      </c>
      <c r="C24" s="1">
        <v>23</v>
      </c>
      <c r="D24" s="1" t="s">
        <v>108</v>
      </c>
      <c r="E24" s="1" t="s">
        <v>18</v>
      </c>
      <c r="F24" t="s">
        <v>19</v>
      </c>
      <c r="G24">
        <v>700</v>
      </c>
      <c r="H24" s="1">
        <v>2</v>
      </c>
      <c r="I24" s="1">
        <v>72</v>
      </c>
      <c r="J24" s="1">
        <v>18</v>
      </c>
      <c r="K24" s="4">
        <v>42233</v>
      </c>
      <c r="L24" s="4">
        <v>42274</v>
      </c>
      <c r="M24" s="1">
        <v>3</v>
      </c>
      <c r="N24" s="4">
        <v>42275</v>
      </c>
      <c r="O24" s="4">
        <v>42280</v>
      </c>
      <c r="P24" s="1" t="str">
        <f t="shared" si="0"/>
        <v>Accepted</v>
      </c>
      <c r="Q24" s="4">
        <v>42284</v>
      </c>
      <c r="R24" s="1" t="str">
        <f>IF(P24="Accepted",IF(J24&gt;20, "Accepted", "Rejected"), "Rejected")</f>
        <v>Rejected</v>
      </c>
      <c r="S24" s="4">
        <v>42285</v>
      </c>
      <c r="T24" s="4"/>
      <c r="U24" s="1" t="s">
        <v>137</v>
      </c>
      <c r="V24" s="9"/>
      <c r="W24" t="s">
        <v>141</v>
      </c>
    </row>
    <row r="25" spans="1:23" x14ac:dyDescent="0.2">
      <c r="A25" s="1">
        <v>63</v>
      </c>
      <c r="B25" s="1">
        <v>253018</v>
      </c>
      <c r="C25" s="1">
        <v>40</v>
      </c>
      <c r="D25" s="1" t="s">
        <v>106</v>
      </c>
      <c r="E25" s="1" t="s">
        <v>109</v>
      </c>
      <c r="F25" t="s">
        <v>39</v>
      </c>
      <c r="G25">
        <v>72</v>
      </c>
      <c r="H25" s="1">
        <v>1</v>
      </c>
      <c r="I25" s="1">
        <v>68</v>
      </c>
      <c r="J25" s="1" t="s">
        <v>1</v>
      </c>
      <c r="K25" s="4">
        <v>42249</v>
      </c>
      <c r="L25" s="4">
        <v>42269</v>
      </c>
      <c r="M25" s="1">
        <v>2</v>
      </c>
      <c r="N25" s="4">
        <v>42271</v>
      </c>
      <c r="O25" s="4">
        <v>42274</v>
      </c>
      <c r="P25" s="1" t="str">
        <f t="shared" si="0"/>
        <v>Rejected</v>
      </c>
      <c r="Q25" s="4">
        <v>42276</v>
      </c>
      <c r="R25" s="1" t="s">
        <v>1</v>
      </c>
      <c r="S25" s="1" t="s">
        <v>1</v>
      </c>
      <c r="U25" s="1" t="s">
        <v>148</v>
      </c>
      <c r="V25" s="9"/>
      <c r="W25" t="s">
        <v>150</v>
      </c>
    </row>
    <row r="26" spans="1:23" x14ac:dyDescent="0.2">
      <c r="A26" s="1">
        <v>94</v>
      </c>
      <c r="B26" s="1">
        <v>255928</v>
      </c>
      <c r="C26" s="1">
        <v>43</v>
      </c>
      <c r="D26" s="1" t="s">
        <v>108</v>
      </c>
      <c r="E26" s="1" t="s">
        <v>110</v>
      </c>
      <c r="F26" t="s">
        <v>17</v>
      </c>
      <c r="G26">
        <v>360</v>
      </c>
      <c r="H26" s="1">
        <v>6</v>
      </c>
      <c r="I26" s="1">
        <v>79</v>
      </c>
      <c r="J26" s="1">
        <v>26</v>
      </c>
      <c r="K26" s="4">
        <v>42254</v>
      </c>
      <c r="L26" s="4">
        <v>42254</v>
      </c>
      <c r="M26" s="1">
        <v>1</v>
      </c>
      <c r="N26" s="4">
        <v>42256</v>
      </c>
      <c r="O26" s="4">
        <v>42261</v>
      </c>
      <c r="P26" s="1" t="str">
        <f t="shared" si="0"/>
        <v>Accepted</v>
      </c>
      <c r="Q26" s="4">
        <v>42262</v>
      </c>
      <c r="R26" s="1" t="str">
        <f t="shared" ref="R26:R35" si="2">IF(P26="Accepted",IF(J26&gt;20, "Accepted", "Rejected"), "Rejected")</f>
        <v>Accepted</v>
      </c>
      <c r="S26" s="4">
        <v>42262</v>
      </c>
      <c r="T26" s="4">
        <v>42265</v>
      </c>
      <c r="U26" s="1" t="s">
        <v>136</v>
      </c>
      <c r="V26" s="8">
        <v>13600</v>
      </c>
      <c r="W26" t="s">
        <v>83</v>
      </c>
    </row>
    <row r="27" spans="1:23" ht="16" x14ac:dyDescent="0.2">
      <c r="A27" s="1">
        <v>69</v>
      </c>
      <c r="B27" s="1">
        <v>257810</v>
      </c>
      <c r="C27" s="1">
        <v>35</v>
      </c>
      <c r="D27" s="1" t="s">
        <v>106</v>
      </c>
      <c r="E27" s="1" t="s">
        <v>109</v>
      </c>
      <c r="F27" t="s">
        <v>35</v>
      </c>
      <c r="G27">
        <v>701</v>
      </c>
      <c r="H27" s="1">
        <v>3</v>
      </c>
      <c r="I27" s="1">
        <v>92</v>
      </c>
      <c r="J27" s="1">
        <v>27</v>
      </c>
      <c r="K27" s="4">
        <v>42243</v>
      </c>
      <c r="L27" s="4">
        <v>42264</v>
      </c>
      <c r="M27" s="1">
        <v>2</v>
      </c>
      <c r="N27" s="4">
        <v>42266</v>
      </c>
      <c r="O27" s="4">
        <v>42268</v>
      </c>
      <c r="P27" s="1" t="str">
        <f t="shared" si="0"/>
        <v>Accepted</v>
      </c>
      <c r="Q27" s="4">
        <v>42274</v>
      </c>
      <c r="R27" s="1" t="str">
        <f t="shared" si="2"/>
        <v>Accepted</v>
      </c>
      <c r="S27" s="4">
        <v>42274</v>
      </c>
      <c r="T27" s="4">
        <v>42276</v>
      </c>
      <c r="U27" s="1" t="s">
        <v>136</v>
      </c>
      <c r="V27" s="8">
        <v>75000</v>
      </c>
      <c r="W27" s="13" t="s">
        <v>105</v>
      </c>
    </row>
    <row r="28" spans="1:23" x14ac:dyDescent="0.2">
      <c r="A28" s="1">
        <v>90</v>
      </c>
      <c r="B28" s="1">
        <v>259252</v>
      </c>
      <c r="C28" s="1">
        <v>23</v>
      </c>
      <c r="D28" s="1" t="s">
        <v>106</v>
      </c>
      <c r="E28" s="1" t="s">
        <v>109</v>
      </c>
      <c r="F28" t="s">
        <v>9</v>
      </c>
      <c r="G28">
        <v>477</v>
      </c>
      <c r="H28" s="1">
        <v>9</v>
      </c>
      <c r="I28" s="1">
        <v>74</v>
      </c>
      <c r="J28" s="1">
        <v>27</v>
      </c>
      <c r="K28" s="4">
        <v>42250</v>
      </c>
      <c r="L28" s="4">
        <v>42275</v>
      </c>
      <c r="M28" s="1">
        <v>2</v>
      </c>
      <c r="N28" s="4">
        <v>42275</v>
      </c>
      <c r="O28" s="4">
        <v>42282</v>
      </c>
      <c r="P28" s="1" t="str">
        <f t="shared" si="0"/>
        <v>Accepted</v>
      </c>
      <c r="Q28" s="4">
        <v>42283</v>
      </c>
      <c r="R28" s="1" t="str">
        <f t="shared" si="2"/>
        <v>Accepted</v>
      </c>
      <c r="S28" s="4">
        <v>42283</v>
      </c>
      <c r="T28" s="4">
        <v>42294</v>
      </c>
      <c r="U28" s="1" t="s">
        <v>136</v>
      </c>
      <c r="V28" s="8">
        <v>26000</v>
      </c>
      <c r="W28" t="s">
        <v>91</v>
      </c>
    </row>
    <row r="29" spans="1:23" ht="16" x14ac:dyDescent="0.2">
      <c r="A29" s="1">
        <v>73</v>
      </c>
      <c r="B29" s="1">
        <v>259625</v>
      </c>
      <c r="C29" s="1">
        <v>33</v>
      </c>
      <c r="D29" s="1" t="s">
        <v>108</v>
      </c>
      <c r="E29" s="1" t="s">
        <v>109</v>
      </c>
      <c r="F29" t="s">
        <v>5</v>
      </c>
      <c r="G29">
        <v>126</v>
      </c>
      <c r="H29" s="1">
        <v>5</v>
      </c>
      <c r="I29" s="1">
        <v>73</v>
      </c>
      <c r="J29" s="1">
        <v>23</v>
      </c>
      <c r="K29" s="4">
        <v>42203</v>
      </c>
      <c r="L29" s="4">
        <v>42287</v>
      </c>
      <c r="M29" s="1">
        <v>3</v>
      </c>
      <c r="N29" s="4">
        <v>42289</v>
      </c>
      <c r="O29" s="4">
        <v>42290</v>
      </c>
      <c r="P29" s="1" t="str">
        <f t="shared" si="0"/>
        <v>Accepted</v>
      </c>
      <c r="Q29" s="4">
        <v>42292</v>
      </c>
      <c r="R29" s="1" t="str">
        <f t="shared" si="2"/>
        <v>Accepted</v>
      </c>
      <c r="S29" s="4">
        <v>42292</v>
      </c>
      <c r="T29" s="4">
        <v>42296</v>
      </c>
      <c r="U29" s="1" t="s">
        <v>136</v>
      </c>
      <c r="V29" s="8">
        <v>28550</v>
      </c>
      <c r="W29" s="12" t="s">
        <v>104</v>
      </c>
    </row>
    <row r="30" spans="1:23" x14ac:dyDescent="0.2">
      <c r="A30" s="1">
        <v>79</v>
      </c>
      <c r="B30" s="1">
        <v>259768</v>
      </c>
      <c r="C30" s="1">
        <v>28</v>
      </c>
      <c r="D30" s="1" t="s">
        <v>108</v>
      </c>
      <c r="E30" s="1" t="s">
        <v>109</v>
      </c>
      <c r="F30" t="s">
        <v>12</v>
      </c>
      <c r="G30">
        <v>356</v>
      </c>
      <c r="H30" s="1">
        <v>8</v>
      </c>
      <c r="I30" s="1">
        <v>81</v>
      </c>
      <c r="J30" s="1">
        <v>25</v>
      </c>
      <c r="K30" s="4">
        <v>42265</v>
      </c>
      <c r="L30" s="4">
        <v>42265</v>
      </c>
      <c r="M30" s="1">
        <v>1</v>
      </c>
      <c r="N30" s="4">
        <v>42267</v>
      </c>
      <c r="O30" s="4">
        <v>42269</v>
      </c>
      <c r="P30" s="1" t="str">
        <f t="shared" si="0"/>
        <v>Accepted</v>
      </c>
      <c r="Q30" s="4">
        <v>42272</v>
      </c>
      <c r="R30" s="1" t="str">
        <f t="shared" si="2"/>
        <v>Accepted</v>
      </c>
      <c r="S30" s="4">
        <v>42272</v>
      </c>
      <c r="T30" s="4">
        <v>42277</v>
      </c>
      <c r="U30" s="1" t="s">
        <v>136</v>
      </c>
      <c r="V30" s="8">
        <v>22200</v>
      </c>
      <c r="W30" t="s">
        <v>64</v>
      </c>
    </row>
    <row r="31" spans="1:23" x14ac:dyDescent="0.2">
      <c r="A31" s="1">
        <v>27</v>
      </c>
      <c r="B31" s="1">
        <v>268453</v>
      </c>
      <c r="C31" s="1">
        <v>37</v>
      </c>
      <c r="D31" s="1" t="s">
        <v>106</v>
      </c>
      <c r="E31" s="1" t="s">
        <v>109</v>
      </c>
      <c r="F31" t="s">
        <v>3</v>
      </c>
      <c r="G31">
        <v>110</v>
      </c>
      <c r="H31" s="1">
        <v>3</v>
      </c>
      <c r="I31" s="1">
        <v>79</v>
      </c>
      <c r="J31" s="1">
        <v>25</v>
      </c>
      <c r="K31" s="4">
        <v>42203</v>
      </c>
      <c r="L31" s="4">
        <v>42289</v>
      </c>
      <c r="M31" s="1">
        <v>6</v>
      </c>
      <c r="N31" s="4">
        <v>42289</v>
      </c>
      <c r="O31" s="4">
        <v>42291</v>
      </c>
      <c r="P31" s="1" t="str">
        <f t="shared" si="0"/>
        <v>Accepted</v>
      </c>
      <c r="Q31" s="4">
        <v>42291</v>
      </c>
      <c r="R31" s="1" t="str">
        <f t="shared" si="2"/>
        <v>Accepted</v>
      </c>
      <c r="S31" s="4">
        <v>42292</v>
      </c>
      <c r="U31" s="1" t="s">
        <v>164</v>
      </c>
      <c r="V31" s="8">
        <v>39500</v>
      </c>
      <c r="W31" t="s">
        <v>66</v>
      </c>
    </row>
    <row r="32" spans="1:23" ht="16" x14ac:dyDescent="0.2">
      <c r="A32" s="1">
        <v>1</v>
      </c>
      <c r="B32" s="1">
        <v>271410</v>
      </c>
      <c r="C32" s="1">
        <v>35</v>
      </c>
      <c r="D32" s="1" t="s">
        <v>106</v>
      </c>
      <c r="E32" s="1" t="s">
        <v>109</v>
      </c>
      <c r="F32" t="s">
        <v>35</v>
      </c>
      <c r="G32">
        <v>564</v>
      </c>
      <c r="H32" s="1">
        <v>3</v>
      </c>
      <c r="I32" s="1">
        <v>92</v>
      </c>
      <c r="J32" s="1">
        <v>27</v>
      </c>
      <c r="K32" s="4">
        <v>42243</v>
      </c>
      <c r="L32" s="4">
        <v>42264</v>
      </c>
      <c r="M32" s="1">
        <v>2</v>
      </c>
      <c r="N32" s="4">
        <v>42266</v>
      </c>
      <c r="O32" s="4">
        <v>42268</v>
      </c>
      <c r="P32" s="1" t="str">
        <f t="shared" si="0"/>
        <v>Accepted</v>
      </c>
      <c r="Q32" s="4">
        <v>42274</v>
      </c>
      <c r="R32" s="1" t="str">
        <f t="shared" si="2"/>
        <v>Accepted</v>
      </c>
      <c r="S32" s="4">
        <v>42274</v>
      </c>
      <c r="T32" s="4">
        <v>42276</v>
      </c>
      <c r="U32" s="1" t="s">
        <v>136</v>
      </c>
      <c r="V32" s="8">
        <v>75000</v>
      </c>
      <c r="W32" s="12" t="s">
        <v>105</v>
      </c>
    </row>
    <row r="33" spans="1:23" x14ac:dyDescent="0.2">
      <c r="A33" s="1">
        <v>45</v>
      </c>
      <c r="B33" s="1">
        <v>279985</v>
      </c>
      <c r="C33" s="1">
        <v>47</v>
      </c>
      <c r="D33" s="1" t="s">
        <v>106</v>
      </c>
      <c r="E33" s="1" t="s">
        <v>109</v>
      </c>
      <c r="F33" t="s">
        <v>6</v>
      </c>
      <c r="G33">
        <v>366</v>
      </c>
      <c r="H33" s="1">
        <v>13</v>
      </c>
      <c r="I33" s="1">
        <v>81</v>
      </c>
      <c r="J33" s="1">
        <v>25</v>
      </c>
      <c r="K33" s="4">
        <v>42265</v>
      </c>
      <c r="L33" s="4">
        <v>42265</v>
      </c>
      <c r="M33" s="1">
        <v>1</v>
      </c>
      <c r="N33" s="4">
        <v>42266</v>
      </c>
      <c r="O33" s="4">
        <v>42266</v>
      </c>
      <c r="P33" s="1" t="str">
        <f t="shared" si="0"/>
        <v>Accepted</v>
      </c>
      <c r="Q33" s="4">
        <v>42267</v>
      </c>
      <c r="R33" s="1" t="str">
        <f t="shared" si="2"/>
        <v>Accepted</v>
      </c>
      <c r="S33" s="4">
        <v>42268</v>
      </c>
      <c r="T33" s="4">
        <v>42270</v>
      </c>
      <c r="U33" s="1" t="s">
        <v>136</v>
      </c>
      <c r="V33" s="8">
        <v>120000</v>
      </c>
      <c r="W33" t="s">
        <v>85</v>
      </c>
    </row>
    <row r="34" spans="1:23" x14ac:dyDescent="0.2">
      <c r="A34" s="1">
        <v>89</v>
      </c>
      <c r="B34" s="1">
        <v>297387</v>
      </c>
      <c r="C34" s="1">
        <v>46</v>
      </c>
      <c r="D34" s="1" t="s">
        <v>106</v>
      </c>
      <c r="E34" s="1" t="s">
        <v>110</v>
      </c>
      <c r="F34" t="s">
        <v>21</v>
      </c>
      <c r="G34">
        <v>100</v>
      </c>
      <c r="H34" s="1">
        <v>11</v>
      </c>
      <c r="I34" s="1">
        <v>77</v>
      </c>
      <c r="J34" s="1">
        <v>22</v>
      </c>
      <c r="K34" s="4">
        <v>42270</v>
      </c>
      <c r="L34" s="4">
        <v>42271</v>
      </c>
      <c r="M34" s="1">
        <v>1</v>
      </c>
      <c r="N34" s="4">
        <v>42271</v>
      </c>
      <c r="O34" s="4">
        <v>42274</v>
      </c>
      <c r="P34" s="1" t="str">
        <f t="shared" si="0"/>
        <v>Accepted</v>
      </c>
      <c r="Q34" s="4">
        <v>42277</v>
      </c>
      <c r="R34" s="1" t="str">
        <f t="shared" si="2"/>
        <v>Accepted</v>
      </c>
      <c r="S34" s="4">
        <v>42277</v>
      </c>
      <c r="T34" s="4">
        <v>42280</v>
      </c>
      <c r="U34" s="1" t="s">
        <v>136</v>
      </c>
      <c r="V34" s="8">
        <v>39200</v>
      </c>
      <c r="W34" t="s">
        <v>71</v>
      </c>
    </row>
    <row r="35" spans="1:23" x14ac:dyDescent="0.2">
      <c r="A35" s="1">
        <v>60</v>
      </c>
      <c r="B35" s="1">
        <v>301259</v>
      </c>
      <c r="C35" s="1">
        <v>30</v>
      </c>
      <c r="D35" s="1" t="s">
        <v>106</v>
      </c>
      <c r="E35" s="1" t="s">
        <v>109</v>
      </c>
      <c r="F35" t="s">
        <v>9</v>
      </c>
      <c r="G35">
        <v>585</v>
      </c>
      <c r="H35" s="1">
        <v>5</v>
      </c>
      <c r="I35" s="1">
        <v>85</v>
      </c>
      <c r="J35" s="1">
        <v>22</v>
      </c>
      <c r="K35" s="4">
        <v>42191</v>
      </c>
      <c r="L35" s="4">
        <v>42260</v>
      </c>
      <c r="M35" s="1">
        <v>2</v>
      </c>
      <c r="N35" s="4">
        <v>42269</v>
      </c>
      <c r="O35" s="4">
        <v>42274</v>
      </c>
      <c r="P35" s="1" t="str">
        <f t="shared" si="0"/>
        <v>Accepted</v>
      </c>
      <c r="Q35" s="4">
        <v>42276</v>
      </c>
      <c r="R35" s="1" t="str">
        <f t="shared" si="2"/>
        <v>Accepted</v>
      </c>
      <c r="S35" s="4">
        <v>42276</v>
      </c>
      <c r="T35" s="4">
        <v>42279</v>
      </c>
      <c r="U35" s="1" t="s">
        <v>136</v>
      </c>
      <c r="V35" s="9">
        <v>31200</v>
      </c>
      <c r="W35" t="s">
        <v>92</v>
      </c>
    </row>
    <row r="36" spans="1:23" x14ac:dyDescent="0.2">
      <c r="A36" s="1">
        <v>53</v>
      </c>
      <c r="B36" s="1">
        <v>302798</v>
      </c>
      <c r="C36" s="1">
        <v>25</v>
      </c>
      <c r="D36" s="1" t="s">
        <v>108</v>
      </c>
      <c r="E36" s="1" t="s">
        <v>109</v>
      </c>
      <c r="F36" t="s">
        <v>2</v>
      </c>
      <c r="G36">
        <v>274</v>
      </c>
      <c r="H36" s="1">
        <v>3</v>
      </c>
      <c r="I36" s="1">
        <v>64</v>
      </c>
      <c r="J36" s="1" t="s">
        <v>1</v>
      </c>
      <c r="K36" s="4">
        <v>42297</v>
      </c>
      <c r="L36" s="4">
        <v>42297</v>
      </c>
      <c r="M36" s="1">
        <v>1</v>
      </c>
      <c r="N36" s="4">
        <v>42300</v>
      </c>
      <c r="O36" s="4">
        <v>42305</v>
      </c>
      <c r="P36" s="1" t="str">
        <f t="shared" si="0"/>
        <v>Rejected</v>
      </c>
      <c r="Q36" s="4">
        <v>42308</v>
      </c>
      <c r="R36" s="1" t="s">
        <v>1</v>
      </c>
      <c r="S36" s="1" t="s">
        <v>1</v>
      </c>
      <c r="U36" s="1" t="s">
        <v>148</v>
      </c>
      <c r="V36" s="9"/>
      <c r="W36" t="s">
        <v>151</v>
      </c>
    </row>
    <row r="37" spans="1:23" x14ac:dyDescent="0.2">
      <c r="A37" s="1">
        <v>13</v>
      </c>
      <c r="B37" s="1">
        <v>346011</v>
      </c>
      <c r="C37" s="1">
        <v>39</v>
      </c>
      <c r="D37" s="1" t="s">
        <v>106</v>
      </c>
      <c r="E37" s="1" t="s">
        <v>109</v>
      </c>
      <c r="F37" t="s">
        <v>3</v>
      </c>
      <c r="G37">
        <v>110</v>
      </c>
      <c r="H37" s="1">
        <v>2</v>
      </c>
      <c r="I37" s="1">
        <v>72</v>
      </c>
      <c r="J37" s="1">
        <v>22</v>
      </c>
      <c r="K37" s="4">
        <v>42221</v>
      </c>
      <c r="L37" s="4">
        <v>42289</v>
      </c>
      <c r="M37" s="1">
        <v>4</v>
      </c>
      <c r="N37" s="4">
        <v>42290</v>
      </c>
      <c r="O37" s="4">
        <v>42291</v>
      </c>
      <c r="P37" s="1" t="str">
        <f t="shared" si="0"/>
        <v>Accepted</v>
      </c>
      <c r="Q37" s="4">
        <v>42292</v>
      </c>
      <c r="R37" s="1" t="str">
        <f>IF(P37="Accepted",IF(J37&gt;20, "Accepted", "Rejected"), "Rejected")</f>
        <v>Accepted</v>
      </c>
      <c r="S37" s="4">
        <v>42292</v>
      </c>
      <c r="U37" s="1" t="s">
        <v>164</v>
      </c>
      <c r="V37" s="8">
        <v>27800</v>
      </c>
      <c r="W37" t="s">
        <v>73</v>
      </c>
    </row>
    <row r="38" spans="1:23" ht="16" x14ac:dyDescent="0.2">
      <c r="A38" s="1">
        <v>2</v>
      </c>
      <c r="B38" s="1">
        <v>352170</v>
      </c>
      <c r="C38" s="1">
        <v>30</v>
      </c>
      <c r="D38" s="1" t="s">
        <v>108</v>
      </c>
      <c r="E38" s="1" t="s">
        <v>109</v>
      </c>
      <c r="F38" t="s">
        <v>2</v>
      </c>
      <c r="G38">
        <v>256</v>
      </c>
      <c r="H38" s="1">
        <v>5</v>
      </c>
      <c r="I38" s="1">
        <v>60</v>
      </c>
      <c r="J38" s="1" t="s">
        <v>1</v>
      </c>
      <c r="K38" s="4">
        <v>42185</v>
      </c>
      <c r="L38" s="4">
        <v>42278</v>
      </c>
      <c r="M38" s="1">
        <v>4</v>
      </c>
      <c r="N38" s="4">
        <v>42280</v>
      </c>
      <c r="O38" s="4">
        <v>42281</v>
      </c>
      <c r="P38" s="1" t="str">
        <f t="shared" si="0"/>
        <v>Rejected</v>
      </c>
      <c r="Q38" s="4">
        <v>42283</v>
      </c>
      <c r="R38" s="1" t="s">
        <v>1</v>
      </c>
      <c r="S38" s="1" t="s">
        <v>1</v>
      </c>
      <c r="U38" s="1" t="s">
        <v>148</v>
      </c>
      <c r="V38" s="8"/>
      <c r="W38" s="12" t="s">
        <v>152</v>
      </c>
    </row>
    <row r="39" spans="1:23" ht="16" x14ac:dyDescent="0.2">
      <c r="A39" s="1">
        <v>70</v>
      </c>
      <c r="B39" s="1">
        <v>355570</v>
      </c>
      <c r="C39" s="1">
        <v>30</v>
      </c>
      <c r="D39" s="1" t="s">
        <v>108</v>
      </c>
      <c r="E39" s="1" t="s">
        <v>109</v>
      </c>
      <c r="F39" t="s">
        <v>2</v>
      </c>
      <c r="G39">
        <v>63</v>
      </c>
      <c r="H39" s="1">
        <v>5</v>
      </c>
      <c r="I39" s="1">
        <v>60</v>
      </c>
      <c r="J39" s="1" t="s">
        <v>1</v>
      </c>
      <c r="K39" s="4">
        <v>42185</v>
      </c>
      <c r="L39" s="4">
        <v>42278</v>
      </c>
      <c r="M39" s="1">
        <v>4</v>
      </c>
      <c r="N39" s="4">
        <v>42280</v>
      </c>
      <c r="O39" s="4">
        <v>42281</v>
      </c>
      <c r="P39" s="1" t="str">
        <f t="shared" si="0"/>
        <v>Rejected</v>
      </c>
      <c r="Q39" s="4">
        <v>42283</v>
      </c>
      <c r="R39" s="1" t="s">
        <v>1</v>
      </c>
      <c r="S39" s="1" t="s">
        <v>1</v>
      </c>
      <c r="U39" s="1" t="s">
        <v>148</v>
      </c>
      <c r="V39" s="8"/>
      <c r="W39" s="12" t="s">
        <v>152</v>
      </c>
    </row>
    <row r="40" spans="1:23" x14ac:dyDescent="0.2">
      <c r="A40" s="1">
        <v>26</v>
      </c>
      <c r="B40" s="1">
        <v>358032</v>
      </c>
      <c r="C40" s="1">
        <v>34</v>
      </c>
      <c r="D40" s="1" t="s">
        <v>106</v>
      </c>
      <c r="E40" s="1" t="s">
        <v>109</v>
      </c>
      <c r="F40" t="s">
        <v>6</v>
      </c>
      <c r="G40">
        <v>676</v>
      </c>
      <c r="H40" s="1">
        <v>3</v>
      </c>
      <c r="I40" s="1">
        <v>89</v>
      </c>
      <c r="J40" s="1">
        <v>27</v>
      </c>
      <c r="K40" s="4">
        <v>42253</v>
      </c>
      <c r="L40" s="4">
        <v>42273</v>
      </c>
      <c r="M40" s="1">
        <v>2</v>
      </c>
      <c r="N40" s="4">
        <v>42279</v>
      </c>
      <c r="O40" s="4">
        <v>42283</v>
      </c>
      <c r="P40" s="1" t="str">
        <f t="shared" si="0"/>
        <v>Accepted</v>
      </c>
      <c r="Q40" s="4">
        <v>42285</v>
      </c>
      <c r="R40" s="1" t="str">
        <f>IF(P40="Accepted",IF(J40&gt;20, "Accepted", "Rejected"), "Rejected")</f>
        <v>Accepted</v>
      </c>
      <c r="S40" s="4">
        <v>42285</v>
      </c>
      <c r="T40" s="4">
        <v>42288</v>
      </c>
      <c r="U40" s="1" t="s">
        <v>136</v>
      </c>
      <c r="V40" s="8">
        <v>46700</v>
      </c>
      <c r="W40" t="s">
        <v>38</v>
      </c>
    </row>
    <row r="41" spans="1:23" x14ac:dyDescent="0.2">
      <c r="A41" s="1">
        <v>56</v>
      </c>
      <c r="B41" s="1">
        <v>360214</v>
      </c>
      <c r="C41" s="1">
        <v>57</v>
      </c>
      <c r="D41" s="1" t="s">
        <v>106</v>
      </c>
      <c r="E41" s="1" t="s">
        <v>109</v>
      </c>
      <c r="F41" t="s">
        <v>32</v>
      </c>
      <c r="G41">
        <v>669</v>
      </c>
      <c r="H41" s="1">
        <v>14</v>
      </c>
      <c r="I41" s="1">
        <v>54</v>
      </c>
      <c r="J41" s="1" t="s">
        <v>1</v>
      </c>
      <c r="K41" s="4">
        <v>42258</v>
      </c>
      <c r="L41" s="4">
        <v>42281</v>
      </c>
      <c r="M41" s="1">
        <v>3</v>
      </c>
      <c r="N41" s="4">
        <v>42283</v>
      </c>
      <c r="O41" s="4">
        <v>42286</v>
      </c>
      <c r="P41" s="1" t="str">
        <f t="shared" si="0"/>
        <v>Rejected</v>
      </c>
      <c r="Q41" s="4">
        <v>42287</v>
      </c>
      <c r="R41" s="1" t="s">
        <v>1</v>
      </c>
      <c r="S41" s="1" t="s">
        <v>1</v>
      </c>
      <c r="U41" s="1" t="s">
        <v>148</v>
      </c>
      <c r="V41" s="9"/>
      <c r="W41" t="s">
        <v>153</v>
      </c>
    </row>
    <row r="42" spans="1:23" x14ac:dyDescent="0.2">
      <c r="A42" s="1">
        <v>38</v>
      </c>
      <c r="B42" s="1">
        <v>367589</v>
      </c>
      <c r="C42" s="1">
        <f ca="1">+RANDBETWEEN(19,60)</f>
        <v>26</v>
      </c>
      <c r="D42" s="1" t="s">
        <v>108</v>
      </c>
      <c r="E42" s="1" t="s">
        <v>110</v>
      </c>
      <c r="F42" t="s">
        <v>5</v>
      </c>
      <c r="G42">
        <v>693</v>
      </c>
      <c r="H42" s="1">
        <v>6</v>
      </c>
      <c r="I42" s="1">
        <v>79</v>
      </c>
      <c r="J42" s="1">
        <f ca="1">+RANDBETWEEN(9,30)</f>
        <v>16</v>
      </c>
      <c r="K42" s="4">
        <v>42241</v>
      </c>
      <c r="L42" s="4">
        <v>42246</v>
      </c>
      <c r="M42" s="1">
        <v>2</v>
      </c>
      <c r="N42" s="4">
        <v>42249</v>
      </c>
      <c r="O42" s="4">
        <v>42252</v>
      </c>
      <c r="P42" s="1" t="str">
        <f t="shared" si="0"/>
        <v>Accepted</v>
      </c>
      <c r="Q42" s="4">
        <v>42253</v>
      </c>
      <c r="R42" s="1" t="str">
        <f t="shared" ref="R42:R47" ca="1" si="3">IF(P42="Accepted",IF(J42&gt;20, "Accepted", "Rejected"), "Rejected")</f>
        <v>Rejected</v>
      </c>
      <c r="S42" s="4">
        <v>42253</v>
      </c>
      <c r="T42" s="4">
        <v>42289</v>
      </c>
      <c r="U42" s="1" t="s">
        <v>136</v>
      </c>
      <c r="V42" s="8">
        <v>38000</v>
      </c>
      <c r="W42" t="s">
        <v>96</v>
      </c>
    </row>
    <row r="43" spans="1:23" x14ac:dyDescent="0.2">
      <c r="A43" s="1">
        <v>36</v>
      </c>
      <c r="B43" s="1">
        <v>367890</v>
      </c>
      <c r="C43" s="1">
        <v>33</v>
      </c>
      <c r="D43" s="1" t="s">
        <v>106</v>
      </c>
      <c r="E43" s="1" t="s">
        <v>109</v>
      </c>
      <c r="F43" t="s">
        <v>3</v>
      </c>
      <c r="G43">
        <v>634</v>
      </c>
      <c r="H43" s="1">
        <v>6</v>
      </c>
      <c r="I43" s="1">
        <v>80</v>
      </c>
      <c r="J43" s="1">
        <v>28</v>
      </c>
      <c r="K43" s="4">
        <v>42268</v>
      </c>
      <c r="L43" s="4">
        <v>42268</v>
      </c>
      <c r="M43" s="1">
        <v>1</v>
      </c>
      <c r="N43" s="4">
        <v>42273</v>
      </c>
      <c r="O43" s="4">
        <v>42274</v>
      </c>
      <c r="P43" s="1" t="str">
        <f t="shared" si="0"/>
        <v>Accepted</v>
      </c>
      <c r="Q43" s="4">
        <v>42275</v>
      </c>
      <c r="R43" s="1" t="str">
        <f t="shared" si="3"/>
        <v>Accepted</v>
      </c>
      <c r="S43" s="4">
        <v>42275</v>
      </c>
      <c r="T43" s="4">
        <v>42276</v>
      </c>
      <c r="U43" s="1" t="s">
        <v>136</v>
      </c>
      <c r="V43" s="8">
        <v>60000</v>
      </c>
      <c r="W43" t="s">
        <v>93</v>
      </c>
    </row>
    <row r="44" spans="1:23" x14ac:dyDescent="0.2">
      <c r="A44" s="1">
        <v>40</v>
      </c>
      <c r="B44" s="1">
        <v>374805</v>
      </c>
      <c r="C44" s="1">
        <v>52</v>
      </c>
      <c r="D44" s="1" t="s">
        <v>106</v>
      </c>
      <c r="E44" s="1" t="s">
        <v>109</v>
      </c>
      <c r="F44" t="s">
        <v>52</v>
      </c>
      <c r="G44">
        <v>13</v>
      </c>
      <c r="H44" s="1">
        <v>8</v>
      </c>
      <c r="I44" s="1">
        <v>86</v>
      </c>
      <c r="J44" s="1">
        <v>26</v>
      </c>
      <c r="K44" s="4">
        <v>42255</v>
      </c>
      <c r="L44" s="4">
        <v>42255</v>
      </c>
      <c r="M44" s="1">
        <v>1</v>
      </c>
      <c r="N44" s="4">
        <v>42257</v>
      </c>
      <c r="O44" s="4">
        <v>42258</v>
      </c>
      <c r="P44" s="1" t="str">
        <f t="shared" si="0"/>
        <v>Accepted</v>
      </c>
      <c r="Q44" s="4">
        <v>42290</v>
      </c>
      <c r="R44" s="1" t="str">
        <f t="shared" si="3"/>
        <v>Accepted</v>
      </c>
      <c r="S44" s="4">
        <v>42290</v>
      </c>
      <c r="T44" s="4">
        <v>42293</v>
      </c>
      <c r="U44" s="1" t="s">
        <v>136</v>
      </c>
      <c r="V44" s="8">
        <v>45000</v>
      </c>
      <c r="W44" t="s">
        <v>70</v>
      </c>
    </row>
    <row r="45" spans="1:23" x14ac:dyDescent="0.2">
      <c r="A45" s="1">
        <v>7</v>
      </c>
      <c r="B45" s="1">
        <v>378343</v>
      </c>
      <c r="C45" s="1">
        <v>58</v>
      </c>
      <c r="D45" s="1" t="s">
        <v>106</v>
      </c>
      <c r="E45" s="1" t="s">
        <v>110</v>
      </c>
      <c r="F45" t="s">
        <v>6</v>
      </c>
      <c r="G45">
        <v>261</v>
      </c>
      <c r="H45" s="1">
        <v>2</v>
      </c>
      <c r="I45" s="1">
        <v>81</v>
      </c>
      <c r="J45" s="1">
        <v>29</v>
      </c>
      <c r="K45" s="4">
        <v>42202</v>
      </c>
      <c r="L45" s="4">
        <v>42232</v>
      </c>
      <c r="M45" s="1">
        <v>2</v>
      </c>
      <c r="N45" s="4">
        <v>42233</v>
      </c>
      <c r="O45" s="4">
        <v>42237</v>
      </c>
      <c r="P45" s="1" t="str">
        <f t="shared" si="0"/>
        <v>Accepted</v>
      </c>
      <c r="Q45" s="4">
        <v>42239</v>
      </c>
      <c r="R45" s="1" t="str">
        <f t="shared" si="3"/>
        <v>Accepted</v>
      </c>
      <c r="S45" s="4">
        <v>42239</v>
      </c>
      <c r="T45" s="4">
        <v>42242</v>
      </c>
      <c r="U45" s="1" t="s">
        <v>136</v>
      </c>
      <c r="V45" s="8">
        <v>89000</v>
      </c>
      <c r="W45" t="s">
        <v>26</v>
      </c>
    </row>
    <row r="46" spans="1:23" x14ac:dyDescent="0.2">
      <c r="A46" s="1">
        <v>35</v>
      </c>
      <c r="B46" s="1">
        <v>387543</v>
      </c>
      <c r="C46" s="1">
        <v>58</v>
      </c>
      <c r="D46" s="1" t="s">
        <v>106</v>
      </c>
      <c r="E46" s="1" t="s">
        <v>109</v>
      </c>
      <c r="F46" t="s">
        <v>3</v>
      </c>
      <c r="G46">
        <v>376</v>
      </c>
      <c r="H46" s="1">
        <v>7</v>
      </c>
      <c r="I46" s="1">
        <v>74</v>
      </c>
      <c r="J46" s="1">
        <v>26</v>
      </c>
      <c r="K46" s="4">
        <v>42279</v>
      </c>
      <c r="L46" s="4">
        <v>42279</v>
      </c>
      <c r="M46" s="1">
        <v>1</v>
      </c>
      <c r="N46" s="4">
        <v>42286</v>
      </c>
      <c r="O46" s="4">
        <v>42287</v>
      </c>
      <c r="P46" s="1" t="str">
        <f t="shared" si="0"/>
        <v>Accepted</v>
      </c>
      <c r="Q46" s="4">
        <v>42289</v>
      </c>
      <c r="R46" s="1" t="str">
        <f t="shared" si="3"/>
        <v>Accepted</v>
      </c>
      <c r="S46" s="4">
        <v>42289</v>
      </c>
      <c r="T46" s="4">
        <v>42293</v>
      </c>
      <c r="U46" s="1" t="s">
        <v>136</v>
      </c>
      <c r="V46" s="8">
        <v>95500</v>
      </c>
      <c r="W46" t="s">
        <v>54</v>
      </c>
    </row>
    <row r="47" spans="1:23" x14ac:dyDescent="0.2">
      <c r="A47" s="1">
        <v>72</v>
      </c>
      <c r="B47" s="1">
        <v>402134</v>
      </c>
      <c r="C47" s="1">
        <v>55</v>
      </c>
      <c r="D47" s="1" t="s">
        <v>108</v>
      </c>
      <c r="E47" s="1" t="s">
        <v>109</v>
      </c>
      <c r="F47" t="s">
        <v>33</v>
      </c>
      <c r="G47">
        <v>138</v>
      </c>
      <c r="H47" s="1">
        <v>6</v>
      </c>
      <c r="I47" s="1">
        <v>89</v>
      </c>
      <c r="J47" s="1">
        <v>28</v>
      </c>
      <c r="K47" s="4">
        <v>42228</v>
      </c>
      <c r="L47" s="4">
        <v>42250</v>
      </c>
      <c r="M47" s="1">
        <v>2</v>
      </c>
      <c r="N47" s="4">
        <v>42254</v>
      </c>
      <c r="O47" s="4">
        <v>42255</v>
      </c>
      <c r="P47" s="1" t="str">
        <f t="shared" si="0"/>
        <v>Accepted</v>
      </c>
      <c r="Q47" s="4">
        <v>42259</v>
      </c>
      <c r="R47" s="1" t="str">
        <f t="shared" si="3"/>
        <v>Accepted</v>
      </c>
      <c r="S47" s="4">
        <v>42260</v>
      </c>
      <c r="T47" s="4">
        <v>42262</v>
      </c>
      <c r="U47" s="1" t="s">
        <v>136</v>
      </c>
      <c r="V47" s="8">
        <v>60200</v>
      </c>
      <c r="W47" t="s">
        <v>34</v>
      </c>
    </row>
    <row r="48" spans="1:23" x14ac:dyDescent="0.2">
      <c r="A48" s="1">
        <v>86</v>
      </c>
      <c r="B48" s="1">
        <v>404728</v>
      </c>
      <c r="C48" s="1">
        <v>44</v>
      </c>
      <c r="D48" s="1" t="s">
        <v>106</v>
      </c>
      <c r="E48" s="1" t="s">
        <v>109</v>
      </c>
      <c r="F48" t="s">
        <v>12</v>
      </c>
      <c r="G48">
        <v>174</v>
      </c>
      <c r="H48" s="1">
        <v>6</v>
      </c>
      <c r="I48" s="1" t="s">
        <v>1</v>
      </c>
      <c r="J48" s="1" t="s">
        <v>1</v>
      </c>
      <c r="K48" s="4">
        <v>42302</v>
      </c>
      <c r="L48" s="4">
        <v>42302</v>
      </c>
      <c r="M48" s="1">
        <v>1</v>
      </c>
      <c r="N48" s="1" t="s">
        <v>1</v>
      </c>
      <c r="O48" s="1" t="s">
        <v>1</v>
      </c>
      <c r="P48" s="1" t="s">
        <v>1</v>
      </c>
      <c r="R48" s="1" t="s">
        <v>1</v>
      </c>
      <c r="U48" s="1" t="s">
        <v>165</v>
      </c>
      <c r="V48" s="8"/>
    </row>
    <row r="49" spans="1:23" x14ac:dyDescent="0.2">
      <c r="A49" s="1">
        <v>93</v>
      </c>
      <c r="B49" s="1">
        <v>409873</v>
      </c>
      <c r="C49" s="1">
        <v>25</v>
      </c>
      <c r="D49" s="1" t="s">
        <v>108</v>
      </c>
      <c r="E49" s="1" t="s">
        <v>109</v>
      </c>
      <c r="F49" t="s">
        <v>3</v>
      </c>
      <c r="G49">
        <v>110</v>
      </c>
      <c r="H49" s="1">
        <v>3</v>
      </c>
      <c r="I49" s="1">
        <v>67</v>
      </c>
      <c r="J49" s="1" t="s">
        <v>1</v>
      </c>
      <c r="K49" s="4">
        <v>42240</v>
      </c>
      <c r="L49" s="4">
        <v>42285</v>
      </c>
      <c r="M49" s="1">
        <v>3</v>
      </c>
      <c r="N49" s="4">
        <v>42289</v>
      </c>
      <c r="O49" s="4">
        <v>42292</v>
      </c>
      <c r="P49" s="1" t="str">
        <f t="shared" ref="P49:P63" si="4">IF(I49&gt;70, "Accepted", "Rejected")</f>
        <v>Rejected</v>
      </c>
      <c r="Q49" s="4">
        <v>42292</v>
      </c>
      <c r="R49" s="1" t="s">
        <v>1</v>
      </c>
      <c r="S49" s="1" t="s">
        <v>1</v>
      </c>
      <c r="U49" s="1" t="s">
        <v>148</v>
      </c>
      <c r="V49" s="8"/>
      <c r="W49" t="s">
        <v>154</v>
      </c>
    </row>
    <row r="50" spans="1:23" x14ac:dyDescent="0.2">
      <c r="A50" s="1">
        <v>88</v>
      </c>
      <c r="B50" s="1">
        <v>423894</v>
      </c>
      <c r="C50" s="1">
        <v>29</v>
      </c>
      <c r="D50" s="1" t="s">
        <v>108</v>
      </c>
      <c r="E50" s="1" t="s">
        <v>110</v>
      </c>
      <c r="F50" t="s">
        <v>14</v>
      </c>
      <c r="G50">
        <v>719</v>
      </c>
      <c r="H50" s="1">
        <v>1</v>
      </c>
      <c r="I50" s="1">
        <v>52</v>
      </c>
      <c r="J50" s="1" t="s">
        <v>1</v>
      </c>
      <c r="K50" s="4">
        <v>42287</v>
      </c>
      <c r="L50" s="4">
        <v>42292</v>
      </c>
      <c r="M50" s="1">
        <v>2</v>
      </c>
      <c r="N50" s="4">
        <v>42296</v>
      </c>
      <c r="O50" s="4">
        <v>42297</v>
      </c>
      <c r="P50" s="1" t="str">
        <f t="shared" si="4"/>
        <v>Rejected</v>
      </c>
      <c r="Q50" s="4">
        <v>42299</v>
      </c>
      <c r="R50" s="1" t="s">
        <v>1</v>
      </c>
      <c r="S50" s="1" t="s">
        <v>1</v>
      </c>
      <c r="U50" s="1" t="s">
        <v>148</v>
      </c>
      <c r="V50" s="8"/>
      <c r="W50" t="s">
        <v>155</v>
      </c>
    </row>
    <row r="51" spans="1:23" x14ac:dyDescent="0.2">
      <c r="A51" s="1">
        <v>74</v>
      </c>
      <c r="B51" s="1">
        <v>440543</v>
      </c>
      <c r="C51" s="1">
        <v>31</v>
      </c>
      <c r="D51" s="1" t="s">
        <v>108</v>
      </c>
      <c r="E51" s="1" t="s">
        <v>110</v>
      </c>
      <c r="F51" t="s">
        <v>6</v>
      </c>
      <c r="G51">
        <v>506</v>
      </c>
      <c r="H51" s="1">
        <v>1</v>
      </c>
      <c r="I51" s="1">
        <v>69</v>
      </c>
      <c r="J51" s="1" t="s">
        <v>1</v>
      </c>
      <c r="K51" s="4">
        <v>42280</v>
      </c>
      <c r="L51" s="4">
        <v>42280</v>
      </c>
      <c r="M51" s="1">
        <v>1</v>
      </c>
      <c r="N51" s="4">
        <v>42282</v>
      </c>
      <c r="O51" s="4">
        <v>42283</v>
      </c>
      <c r="P51" s="1" t="str">
        <f t="shared" si="4"/>
        <v>Rejected</v>
      </c>
      <c r="Q51" s="4">
        <v>42285</v>
      </c>
      <c r="R51" s="1" t="s">
        <v>1</v>
      </c>
      <c r="S51" s="4" t="s">
        <v>1</v>
      </c>
      <c r="U51" s="1" t="s">
        <v>148</v>
      </c>
      <c r="V51" s="8"/>
      <c r="W51" t="s">
        <v>156</v>
      </c>
    </row>
    <row r="52" spans="1:23" x14ac:dyDescent="0.2">
      <c r="A52" s="1">
        <v>97</v>
      </c>
      <c r="B52" s="1">
        <v>443914</v>
      </c>
      <c r="C52" s="1">
        <v>49</v>
      </c>
      <c r="D52" s="1" t="s">
        <v>108</v>
      </c>
      <c r="E52" s="1" t="s">
        <v>110</v>
      </c>
      <c r="F52" t="s">
        <v>3</v>
      </c>
      <c r="G52">
        <v>357</v>
      </c>
      <c r="H52" s="1">
        <v>2</v>
      </c>
      <c r="I52" s="1">
        <v>37</v>
      </c>
      <c r="J52" s="1" t="s">
        <v>1</v>
      </c>
      <c r="K52" s="4">
        <v>42258</v>
      </c>
      <c r="L52" s="4">
        <v>42277</v>
      </c>
      <c r="M52" s="1">
        <v>2</v>
      </c>
      <c r="N52" s="4">
        <v>42277</v>
      </c>
      <c r="O52" s="4">
        <v>42278</v>
      </c>
      <c r="P52" s="1" t="str">
        <f t="shared" si="4"/>
        <v>Rejected</v>
      </c>
      <c r="Q52" s="4">
        <v>42279</v>
      </c>
      <c r="R52" s="1" t="s">
        <v>1</v>
      </c>
      <c r="U52" s="1" t="s">
        <v>148</v>
      </c>
      <c r="V52" s="8"/>
      <c r="W52" t="s">
        <v>157</v>
      </c>
    </row>
    <row r="53" spans="1:23" x14ac:dyDescent="0.2">
      <c r="A53" s="1">
        <v>98</v>
      </c>
      <c r="B53" s="1">
        <v>451198</v>
      </c>
      <c r="C53" s="1">
        <v>35</v>
      </c>
      <c r="D53" s="1" t="s">
        <v>106</v>
      </c>
      <c r="E53" s="1" t="s">
        <v>110</v>
      </c>
      <c r="F53" t="s">
        <v>33</v>
      </c>
      <c r="G53">
        <v>359</v>
      </c>
      <c r="H53" s="1">
        <v>7</v>
      </c>
      <c r="I53" s="1">
        <v>74</v>
      </c>
      <c r="J53" s="1">
        <v>28</v>
      </c>
      <c r="K53" s="4">
        <v>42250</v>
      </c>
      <c r="L53" s="4">
        <v>42257</v>
      </c>
      <c r="M53" s="1">
        <v>2</v>
      </c>
      <c r="N53" s="4">
        <v>42258</v>
      </c>
      <c r="O53" s="4">
        <v>42259</v>
      </c>
      <c r="P53" s="1" t="str">
        <f t="shared" si="4"/>
        <v>Accepted</v>
      </c>
      <c r="Q53" s="4">
        <v>42261</v>
      </c>
      <c r="R53" s="1" t="str">
        <f t="shared" ref="R53:R59" si="5">IF(P53="Accepted",IF(J53&gt;20, "Accepted", "Rejected"), "Rejected")</f>
        <v>Accepted</v>
      </c>
      <c r="S53" s="4">
        <v>42261</v>
      </c>
      <c r="T53" s="4">
        <v>42265</v>
      </c>
      <c r="U53" s="1" t="s">
        <v>136</v>
      </c>
      <c r="V53" s="8">
        <v>36000</v>
      </c>
      <c r="W53" t="s">
        <v>82</v>
      </c>
    </row>
    <row r="54" spans="1:23" x14ac:dyDescent="0.2">
      <c r="A54" s="1">
        <v>65</v>
      </c>
      <c r="B54" s="1">
        <v>452013</v>
      </c>
      <c r="C54" s="1">
        <v>41</v>
      </c>
      <c r="D54" s="1" t="s">
        <v>106</v>
      </c>
      <c r="E54" s="1" t="s">
        <v>110</v>
      </c>
      <c r="F54" t="s">
        <v>3</v>
      </c>
      <c r="G54">
        <v>202</v>
      </c>
      <c r="H54" s="1">
        <v>7</v>
      </c>
      <c r="I54" s="1">
        <v>74</v>
      </c>
      <c r="J54" s="1">
        <v>19</v>
      </c>
      <c r="K54" s="4">
        <v>42261</v>
      </c>
      <c r="L54" s="4">
        <v>42261</v>
      </c>
      <c r="M54" s="1">
        <v>1</v>
      </c>
      <c r="N54" s="4">
        <v>42267</v>
      </c>
      <c r="O54" s="4">
        <v>42270</v>
      </c>
      <c r="P54" s="1" t="str">
        <f t="shared" si="4"/>
        <v>Accepted</v>
      </c>
      <c r="Q54" s="4">
        <v>42271</v>
      </c>
      <c r="R54" s="1" t="str">
        <f t="shared" si="5"/>
        <v>Rejected</v>
      </c>
      <c r="S54" s="4">
        <v>42271</v>
      </c>
      <c r="U54" s="1" t="s">
        <v>137</v>
      </c>
      <c r="V54" s="9"/>
      <c r="W54" t="s">
        <v>142</v>
      </c>
    </row>
    <row r="55" spans="1:23" x14ac:dyDescent="0.2">
      <c r="A55" s="1">
        <v>103</v>
      </c>
      <c r="B55" s="1">
        <v>455893</v>
      </c>
      <c r="C55" s="1">
        <v>26</v>
      </c>
      <c r="D55" s="1" t="s">
        <v>106</v>
      </c>
      <c r="E55" s="1" t="s">
        <v>109</v>
      </c>
      <c r="F55" t="s">
        <v>12</v>
      </c>
      <c r="G55">
        <v>416</v>
      </c>
      <c r="H55" s="1">
        <v>4</v>
      </c>
      <c r="I55" s="1">
        <v>97</v>
      </c>
      <c r="J55" s="1">
        <v>24</v>
      </c>
      <c r="K55" s="4">
        <v>42227</v>
      </c>
      <c r="L55" s="4">
        <v>42293</v>
      </c>
      <c r="M55" s="1">
        <v>4</v>
      </c>
      <c r="N55" s="4">
        <v>42293</v>
      </c>
      <c r="O55" s="4">
        <v>42297</v>
      </c>
      <c r="P55" s="1" t="str">
        <f t="shared" si="4"/>
        <v>Accepted</v>
      </c>
      <c r="Q55" s="4">
        <v>42298</v>
      </c>
      <c r="R55" s="1" t="str">
        <f t="shared" si="5"/>
        <v>Accepted</v>
      </c>
      <c r="S55" s="4">
        <v>42298</v>
      </c>
      <c r="T55" s="4">
        <v>42300</v>
      </c>
      <c r="U55" s="1" t="s">
        <v>136</v>
      </c>
      <c r="V55" s="8">
        <v>32100</v>
      </c>
      <c r="W55" t="s">
        <v>99</v>
      </c>
    </row>
    <row r="56" spans="1:23" x14ac:dyDescent="0.2">
      <c r="A56" s="1">
        <v>80</v>
      </c>
      <c r="B56" s="1">
        <v>456687</v>
      </c>
      <c r="C56" s="1">
        <v>50</v>
      </c>
      <c r="D56" s="1" t="s">
        <v>106</v>
      </c>
      <c r="E56" s="1" t="s">
        <v>109</v>
      </c>
      <c r="F56" t="s">
        <v>2</v>
      </c>
      <c r="G56">
        <v>256</v>
      </c>
      <c r="H56" s="1">
        <v>20</v>
      </c>
      <c r="I56" s="1">
        <v>80</v>
      </c>
      <c r="J56" s="1">
        <v>28</v>
      </c>
      <c r="K56" s="4">
        <v>42220</v>
      </c>
      <c r="L56" s="4">
        <v>42296</v>
      </c>
      <c r="M56" s="1">
        <v>2</v>
      </c>
      <c r="N56" s="4">
        <v>42298</v>
      </c>
      <c r="O56" s="4">
        <v>42301</v>
      </c>
      <c r="P56" s="1" t="str">
        <f t="shared" si="4"/>
        <v>Accepted</v>
      </c>
      <c r="Q56" s="4">
        <v>42303</v>
      </c>
      <c r="R56" s="1" t="str">
        <f t="shared" si="5"/>
        <v>Accepted</v>
      </c>
      <c r="S56" s="4">
        <v>42303</v>
      </c>
      <c r="T56" s="4">
        <v>42305</v>
      </c>
      <c r="U56" s="1" t="s">
        <v>136</v>
      </c>
      <c r="V56" s="8">
        <v>45300</v>
      </c>
      <c r="W56" t="s">
        <v>77</v>
      </c>
    </row>
    <row r="57" spans="1:23" x14ac:dyDescent="0.2">
      <c r="A57" s="1">
        <v>3</v>
      </c>
      <c r="B57" s="1">
        <v>456821</v>
      </c>
      <c r="C57" s="1">
        <v>25</v>
      </c>
      <c r="D57" s="1" t="s">
        <v>108</v>
      </c>
      <c r="E57" s="1" t="s">
        <v>110</v>
      </c>
      <c r="F57" t="s">
        <v>3</v>
      </c>
      <c r="G57">
        <v>635</v>
      </c>
      <c r="H57" s="1">
        <v>2</v>
      </c>
      <c r="I57" s="1">
        <v>73</v>
      </c>
      <c r="J57" s="1">
        <v>25</v>
      </c>
      <c r="K57" s="4">
        <v>42283</v>
      </c>
      <c r="L57" s="4">
        <v>42283</v>
      </c>
      <c r="M57" s="1">
        <v>1</v>
      </c>
      <c r="N57" s="4">
        <v>42285</v>
      </c>
      <c r="O57" s="4">
        <v>42286</v>
      </c>
      <c r="P57" s="1" t="str">
        <f t="shared" si="4"/>
        <v>Accepted</v>
      </c>
      <c r="Q57" s="4">
        <v>42286</v>
      </c>
      <c r="R57" s="1" t="str">
        <f t="shared" si="5"/>
        <v>Accepted</v>
      </c>
      <c r="S57" s="4">
        <v>42287</v>
      </c>
      <c r="T57" s="4">
        <v>42292</v>
      </c>
      <c r="U57" s="1" t="s">
        <v>136</v>
      </c>
      <c r="V57" s="8">
        <v>37000</v>
      </c>
      <c r="W57" s="2" t="s">
        <v>94</v>
      </c>
    </row>
    <row r="58" spans="1:23" x14ac:dyDescent="0.2">
      <c r="A58" s="1">
        <v>22</v>
      </c>
      <c r="B58" s="1">
        <v>457021</v>
      </c>
      <c r="C58" s="1">
        <v>48</v>
      </c>
      <c r="D58" s="1" t="s">
        <v>106</v>
      </c>
      <c r="E58" s="1" t="s">
        <v>109</v>
      </c>
      <c r="F58" t="s">
        <v>5</v>
      </c>
      <c r="G58">
        <v>728</v>
      </c>
      <c r="H58" s="1">
        <v>6</v>
      </c>
      <c r="I58" s="1">
        <v>78</v>
      </c>
      <c r="J58" s="1">
        <v>22</v>
      </c>
      <c r="K58" s="4">
        <v>42262</v>
      </c>
      <c r="L58" s="4">
        <v>42285</v>
      </c>
      <c r="M58" s="1">
        <v>4</v>
      </c>
      <c r="N58" s="4">
        <v>42287</v>
      </c>
      <c r="O58" s="4">
        <v>42289</v>
      </c>
      <c r="P58" s="1" t="str">
        <f t="shared" si="4"/>
        <v>Accepted</v>
      </c>
      <c r="Q58" s="4">
        <v>42290</v>
      </c>
      <c r="R58" s="1" t="str">
        <f t="shared" si="5"/>
        <v>Accepted</v>
      </c>
      <c r="S58" s="4">
        <v>42291</v>
      </c>
      <c r="U58" s="1" t="s">
        <v>164</v>
      </c>
      <c r="V58" s="8">
        <v>12000</v>
      </c>
      <c r="W58" t="s">
        <v>31</v>
      </c>
    </row>
    <row r="59" spans="1:23" x14ac:dyDescent="0.2">
      <c r="A59" s="1">
        <v>71</v>
      </c>
      <c r="B59" s="1">
        <v>459821</v>
      </c>
      <c r="C59" s="1">
        <v>25</v>
      </c>
      <c r="D59" s="1" t="s">
        <v>37</v>
      </c>
      <c r="E59" s="1" t="s">
        <v>110</v>
      </c>
      <c r="F59" t="s">
        <v>3</v>
      </c>
      <c r="G59">
        <v>763</v>
      </c>
      <c r="H59" s="1">
        <v>2</v>
      </c>
      <c r="I59" s="1">
        <v>73</v>
      </c>
      <c r="J59" s="1">
        <v>25</v>
      </c>
      <c r="K59" s="4">
        <v>42283</v>
      </c>
      <c r="L59" s="4">
        <v>42283</v>
      </c>
      <c r="M59" s="1">
        <v>1</v>
      </c>
      <c r="N59" s="4">
        <v>42285</v>
      </c>
      <c r="O59" s="4">
        <v>42286</v>
      </c>
      <c r="P59" s="1" t="str">
        <f t="shared" si="4"/>
        <v>Accepted</v>
      </c>
      <c r="Q59" s="4">
        <v>42286</v>
      </c>
      <c r="R59" s="1" t="str">
        <f t="shared" si="5"/>
        <v>Accepted</v>
      </c>
      <c r="S59" s="4">
        <v>42287</v>
      </c>
      <c r="T59" s="4">
        <v>42292</v>
      </c>
      <c r="U59" s="1" t="s">
        <v>136</v>
      </c>
      <c r="V59" s="8">
        <v>37000</v>
      </c>
      <c r="W59" s="2" t="s">
        <v>94</v>
      </c>
    </row>
    <row r="60" spans="1:23" x14ac:dyDescent="0.2">
      <c r="A60" s="1">
        <v>39</v>
      </c>
      <c r="B60" s="1">
        <v>468298</v>
      </c>
      <c r="C60" s="1">
        <v>29</v>
      </c>
      <c r="D60" s="1" t="s">
        <v>106</v>
      </c>
      <c r="E60" s="1" t="s">
        <v>109</v>
      </c>
      <c r="F60" t="s">
        <v>32</v>
      </c>
      <c r="G60">
        <v>195</v>
      </c>
      <c r="H60" s="1">
        <v>2</v>
      </c>
      <c r="I60" s="1">
        <v>68</v>
      </c>
      <c r="J60" s="1" t="s">
        <v>1</v>
      </c>
      <c r="K60" s="4">
        <v>42266</v>
      </c>
      <c r="L60" s="4">
        <v>42274</v>
      </c>
      <c r="M60" s="1">
        <v>2</v>
      </c>
      <c r="N60" s="4">
        <v>42275</v>
      </c>
      <c r="O60" s="4">
        <v>42277</v>
      </c>
      <c r="P60" s="1" t="str">
        <f t="shared" si="4"/>
        <v>Rejected</v>
      </c>
      <c r="Q60" s="4">
        <v>42279</v>
      </c>
      <c r="R60" s="1" t="s">
        <v>1</v>
      </c>
      <c r="S60" s="1" t="s">
        <v>1</v>
      </c>
      <c r="U60" s="1" t="s">
        <v>148</v>
      </c>
      <c r="V60" s="8"/>
      <c r="W60" t="s">
        <v>74</v>
      </c>
    </row>
    <row r="61" spans="1:23" x14ac:dyDescent="0.2">
      <c r="A61" s="1">
        <v>85</v>
      </c>
      <c r="B61" s="1">
        <v>548780</v>
      </c>
      <c r="C61" s="1">
        <v>25</v>
      </c>
      <c r="D61" s="1" t="s">
        <v>108</v>
      </c>
      <c r="E61" s="1" t="s">
        <v>109</v>
      </c>
      <c r="F61" t="s">
        <v>45</v>
      </c>
      <c r="G61">
        <v>491</v>
      </c>
      <c r="H61" s="1">
        <v>1</v>
      </c>
      <c r="I61" s="1">
        <v>48</v>
      </c>
      <c r="J61" s="1" t="s">
        <v>1</v>
      </c>
      <c r="K61" s="4">
        <v>42253</v>
      </c>
      <c r="L61" s="4">
        <v>42268</v>
      </c>
      <c r="M61" s="1">
        <v>2</v>
      </c>
      <c r="N61" s="4">
        <v>42270</v>
      </c>
      <c r="O61" s="4">
        <v>42271</v>
      </c>
      <c r="P61" s="1" t="str">
        <f t="shared" si="4"/>
        <v>Rejected</v>
      </c>
      <c r="Q61" s="4">
        <v>42272</v>
      </c>
      <c r="R61" s="1" t="str">
        <f>IF(P61="Accepted",IF(J61&gt;20, "Accepted", "Rejected"), "Rejected")</f>
        <v>Rejected</v>
      </c>
      <c r="U61" s="1" t="s">
        <v>148</v>
      </c>
      <c r="V61" s="8"/>
      <c r="W61" t="s">
        <v>158</v>
      </c>
    </row>
    <row r="62" spans="1:23" x14ac:dyDescent="0.2">
      <c r="A62" s="1">
        <v>87</v>
      </c>
      <c r="B62" s="1">
        <v>551173</v>
      </c>
      <c r="C62" s="1">
        <v>25</v>
      </c>
      <c r="D62" s="1" t="s">
        <v>106</v>
      </c>
      <c r="E62" s="1" t="s">
        <v>110</v>
      </c>
      <c r="F62" t="s">
        <v>12</v>
      </c>
      <c r="G62">
        <v>446</v>
      </c>
      <c r="H62" s="1">
        <v>2</v>
      </c>
      <c r="I62" s="1">
        <v>92</v>
      </c>
      <c r="J62" s="1">
        <v>24</v>
      </c>
      <c r="K62" s="4">
        <v>42248</v>
      </c>
      <c r="L62" s="4">
        <v>42293</v>
      </c>
      <c r="M62" s="1">
        <v>2</v>
      </c>
      <c r="N62" s="4">
        <v>42294</v>
      </c>
      <c r="O62" s="4">
        <v>42297</v>
      </c>
      <c r="P62" s="1" t="str">
        <f t="shared" si="4"/>
        <v>Accepted</v>
      </c>
      <c r="Q62" s="4">
        <v>42298</v>
      </c>
      <c r="R62" s="1" t="str">
        <f>IF(P62="Accepted",IF(J62&gt;20, "Accepted", "Rejected"), "Rejected")</f>
        <v>Accepted</v>
      </c>
      <c r="S62" s="4">
        <v>42298</v>
      </c>
      <c r="U62" s="1" t="s">
        <v>166</v>
      </c>
      <c r="V62" s="8">
        <v>23050</v>
      </c>
      <c r="W62" t="s">
        <v>89</v>
      </c>
    </row>
    <row r="63" spans="1:23" x14ac:dyDescent="0.2">
      <c r="A63" s="1">
        <v>29</v>
      </c>
      <c r="B63" s="1">
        <v>555421</v>
      </c>
      <c r="C63" s="1">
        <v>39</v>
      </c>
      <c r="D63" s="1" t="s">
        <v>106</v>
      </c>
      <c r="E63" s="1" t="s">
        <v>110</v>
      </c>
      <c r="F63" t="s">
        <v>6</v>
      </c>
      <c r="G63">
        <v>413</v>
      </c>
      <c r="H63" s="1">
        <v>7</v>
      </c>
      <c r="I63" s="1">
        <v>97</v>
      </c>
      <c r="J63" s="1">
        <v>27</v>
      </c>
      <c r="K63" s="4">
        <v>42224</v>
      </c>
      <c r="L63" s="4">
        <v>42249</v>
      </c>
      <c r="M63" s="1">
        <v>3</v>
      </c>
      <c r="N63" s="4">
        <v>42262</v>
      </c>
      <c r="O63" s="4">
        <v>42264</v>
      </c>
      <c r="P63" s="1" t="str">
        <f t="shared" si="4"/>
        <v>Accepted</v>
      </c>
      <c r="Q63" s="4">
        <v>42265</v>
      </c>
      <c r="R63" s="1" t="str">
        <f>IF(P63="Accepted",IF(J63&gt;20, "Accepted", "Rejected"), "Rejected")</f>
        <v>Accepted</v>
      </c>
      <c r="S63" s="4">
        <v>42265</v>
      </c>
      <c r="T63" s="4">
        <v>42271</v>
      </c>
      <c r="U63" s="1" t="s">
        <v>136</v>
      </c>
      <c r="V63" s="8">
        <v>45600</v>
      </c>
      <c r="W63" t="s">
        <v>29</v>
      </c>
    </row>
    <row r="64" spans="1:23" x14ac:dyDescent="0.2">
      <c r="A64" s="1">
        <v>46</v>
      </c>
      <c r="B64" s="1">
        <v>556879</v>
      </c>
      <c r="C64" s="1">
        <v>39</v>
      </c>
      <c r="D64" s="1" t="s">
        <v>108</v>
      </c>
      <c r="E64" s="1" t="s">
        <v>110</v>
      </c>
      <c r="F64" t="s">
        <v>51</v>
      </c>
      <c r="G64">
        <v>734</v>
      </c>
      <c r="H64" s="1">
        <v>3</v>
      </c>
      <c r="I64" s="1" t="s">
        <v>1</v>
      </c>
      <c r="J64" s="1" t="s">
        <v>1</v>
      </c>
      <c r="K64" s="4">
        <v>42288</v>
      </c>
      <c r="L64" s="4">
        <v>42288</v>
      </c>
      <c r="M64" s="1">
        <v>1</v>
      </c>
      <c r="N64" s="4">
        <v>42290</v>
      </c>
      <c r="O64" s="4">
        <v>42294</v>
      </c>
      <c r="P64" s="1" t="s">
        <v>1</v>
      </c>
      <c r="R64" s="1" t="s">
        <v>1</v>
      </c>
      <c r="S64" s="1" t="s">
        <v>1</v>
      </c>
      <c r="U64" s="1" t="s">
        <v>165</v>
      </c>
      <c r="V64" s="8"/>
      <c r="W64" t="s">
        <v>60</v>
      </c>
    </row>
    <row r="65" spans="1:23" x14ac:dyDescent="0.2">
      <c r="A65" s="1">
        <v>5</v>
      </c>
      <c r="B65" s="1">
        <v>562320</v>
      </c>
      <c r="C65" s="1">
        <v>38</v>
      </c>
      <c r="D65" s="1" t="s">
        <v>108</v>
      </c>
      <c r="E65" s="1" t="s">
        <v>110</v>
      </c>
      <c r="F65" t="s">
        <v>6</v>
      </c>
      <c r="G65">
        <v>676</v>
      </c>
      <c r="H65" s="1">
        <v>4</v>
      </c>
      <c r="I65" s="1">
        <v>54</v>
      </c>
      <c r="J65" s="1" t="s">
        <v>1</v>
      </c>
      <c r="K65" s="4">
        <v>42196</v>
      </c>
      <c r="L65" s="4">
        <v>42250</v>
      </c>
      <c r="M65" s="1">
        <v>3</v>
      </c>
      <c r="N65" s="4">
        <v>42252</v>
      </c>
      <c r="O65" s="4">
        <v>42254</v>
      </c>
      <c r="P65" s="1" t="str">
        <f>IF(I65&gt;70, "Accepted", "Rejected")</f>
        <v>Rejected</v>
      </c>
      <c r="Q65" s="4">
        <v>42256</v>
      </c>
      <c r="R65" s="1" t="s">
        <v>1</v>
      </c>
      <c r="S65" s="1" t="s">
        <v>1</v>
      </c>
      <c r="U65" s="1" t="s">
        <v>148</v>
      </c>
      <c r="V65" s="8"/>
      <c r="W65" t="s">
        <v>16</v>
      </c>
    </row>
    <row r="66" spans="1:23" x14ac:dyDescent="0.2">
      <c r="A66" s="1">
        <v>61</v>
      </c>
      <c r="B66" s="1">
        <v>579302</v>
      </c>
      <c r="C66" s="1">
        <v>37</v>
      </c>
      <c r="D66" s="1" t="s">
        <v>108</v>
      </c>
      <c r="E66" s="1" t="s">
        <v>109</v>
      </c>
      <c r="F66" t="s">
        <v>68</v>
      </c>
      <c r="G66">
        <v>186</v>
      </c>
      <c r="H66" s="1">
        <v>7</v>
      </c>
      <c r="I66" s="1">
        <v>93</v>
      </c>
      <c r="J66" s="1">
        <v>29</v>
      </c>
      <c r="K66" s="4">
        <v>42264</v>
      </c>
      <c r="L66" s="4">
        <v>42269</v>
      </c>
      <c r="M66" s="1">
        <v>2</v>
      </c>
      <c r="N66" s="4">
        <v>42293</v>
      </c>
      <c r="O66" s="4">
        <v>42296</v>
      </c>
      <c r="P66" s="1" t="str">
        <f>IF(I66&gt;70, "Accepted", "Rejected")</f>
        <v>Accepted</v>
      </c>
      <c r="Q66" s="4">
        <v>42302</v>
      </c>
      <c r="R66" s="1" t="str">
        <f>IF(P66="Accepted",IF(J66&gt;20, "Accepted", "Rejected"), "Rejected")</f>
        <v>Accepted</v>
      </c>
      <c r="S66" s="4">
        <v>42304</v>
      </c>
      <c r="T66" s="4">
        <v>42306</v>
      </c>
      <c r="U66" s="1" t="s">
        <v>136</v>
      </c>
      <c r="V66" s="9">
        <v>53900</v>
      </c>
      <c r="W66" t="s">
        <v>53</v>
      </c>
    </row>
    <row r="67" spans="1:23" x14ac:dyDescent="0.2">
      <c r="A67" s="1">
        <v>28</v>
      </c>
      <c r="B67" s="1">
        <v>588863</v>
      </c>
      <c r="C67" s="1">
        <v>39</v>
      </c>
      <c r="D67" s="1" t="s">
        <v>106</v>
      </c>
      <c r="E67" s="1" t="s">
        <v>109</v>
      </c>
      <c r="F67" t="s">
        <v>2</v>
      </c>
      <c r="G67">
        <v>666</v>
      </c>
      <c r="H67" s="1">
        <v>2</v>
      </c>
      <c r="I67" s="1" t="s">
        <v>1</v>
      </c>
      <c r="J67" s="1" t="s">
        <v>1</v>
      </c>
      <c r="K67" s="4">
        <v>42286</v>
      </c>
      <c r="L67" s="4">
        <v>42286</v>
      </c>
      <c r="M67" s="1">
        <v>1</v>
      </c>
      <c r="N67" s="1" t="s">
        <v>1</v>
      </c>
      <c r="P67" s="1" t="s">
        <v>1</v>
      </c>
      <c r="R67" s="1" t="s">
        <v>1</v>
      </c>
      <c r="U67" s="1" t="s">
        <v>167</v>
      </c>
      <c r="V67" s="8"/>
    </row>
    <row r="68" spans="1:23" x14ac:dyDescent="0.2">
      <c r="A68" s="1">
        <v>100</v>
      </c>
      <c r="B68" s="1">
        <v>590954</v>
      </c>
      <c r="C68" s="1">
        <v>40</v>
      </c>
      <c r="D68" s="1" t="s">
        <v>108</v>
      </c>
      <c r="E68" s="1" t="s">
        <v>109</v>
      </c>
      <c r="F68" t="s">
        <v>51</v>
      </c>
      <c r="G68">
        <v>394</v>
      </c>
      <c r="H68" s="1">
        <v>2</v>
      </c>
      <c r="I68" s="1">
        <v>87</v>
      </c>
      <c r="J68" s="1">
        <v>19</v>
      </c>
      <c r="K68" s="4">
        <v>42286</v>
      </c>
      <c r="L68" s="4">
        <v>42286</v>
      </c>
      <c r="M68" s="1">
        <v>1</v>
      </c>
      <c r="N68" s="4">
        <v>42288</v>
      </c>
      <c r="O68" s="4">
        <v>42289</v>
      </c>
      <c r="P68" s="1" t="str">
        <f>IF(I68&gt;70, "Accepted", "Rejected")</f>
        <v>Accepted</v>
      </c>
      <c r="Q68" s="4">
        <v>42291</v>
      </c>
      <c r="R68" s="1" t="str">
        <f>IF(P68="Accepted",IF(J68&gt;20, "Accepted", "Rejected"), "Rejected")</f>
        <v>Rejected</v>
      </c>
      <c r="S68" s="4">
        <v>42291</v>
      </c>
      <c r="U68" s="1" t="s">
        <v>137</v>
      </c>
      <c r="V68" s="8"/>
      <c r="W68" t="s">
        <v>143</v>
      </c>
    </row>
    <row r="69" spans="1:23" ht="16" x14ac:dyDescent="0.2">
      <c r="A69" s="1">
        <v>77</v>
      </c>
      <c r="B69" s="1">
        <v>592169</v>
      </c>
      <c r="C69" s="1">
        <v>50</v>
      </c>
      <c r="D69" s="1" t="s">
        <v>108</v>
      </c>
      <c r="E69" s="1" t="s">
        <v>109</v>
      </c>
      <c r="F69" t="s">
        <v>0</v>
      </c>
      <c r="G69">
        <v>572</v>
      </c>
      <c r="H69" s="1">
        <v>7</v>
      </c>
      <c r="I69" s="1">
        <v>62</v>
      </c>
      <c r="J69" s="1" t="s">
        <v>1</v>
      </c>
      <c r="K69" s="4">
        <v>42166</v>
      </c>
      <c r="L69" s="4">
        <v>42273</v>
      </c>
      <c r="M69" s="1">
        <v>4</v>
      </c>
      <c r="N69" s="4">
        <v>42275</v>
      </c>
      <c r="O69" s="4">
        <v>42278</v>
      </c>
      <c r="P69" s="1" t="str">
        <f>IF(I69&gt;70, "Accepted", "Rejected")</f>
        <v>Rejected</v>
      </c>
      <c r="Q69" s="4">
        <v>42280</v>
      </c>
      <c r="R69" s="1" t="s">
        <v>1</v>
      </c>
      <c r="S69" s="4" t="s">
        <v>100</v>
      </c>
      <c r="U69" s="1" t="s">
        <v>148</v>
      </c>
      <c r="V69" s="8"/>
      <c r="W69" s="12" t="s">
        <v>159</v>
      </c>
    </row>
    <row r="70" spans="1:23" x14ac:dyDescent="0.2">
      <c r="A70" s="1">
        <v>41</v>
      </c>
      <c r="B70" s="1">
        <v>593845</v>
      </c>
      <c r="C70" s="1">
        <v>39</v>
      </c>
      <c r="D70" s="1" t="s">
        <v>106</v>
      </c>
      <c r="E70" s="1" t="s">
        <v>109</v>
      </c>
      <c r="F70" t="s">
        <v>21</v>
      </c>
      <c r="G70">
        <v>438</v>
      </c>
      <c r="H70" s="1">
        <v>5</v>
      </c>
      <c r="I70" s="1">
        <v>95</v>
      </c>
      <c r="J70" s="1">
        <v>28</v>
      </c>
      <c r="K70" s="4">
        <v>42227</v>
      </c>
      <c r="L70" s="4">
        <v>42267</v>
      </c>
      <c r="M70" s="1">
        <v>2</v>
      </c>
      <c r="N70" s="4">
        <v>42269</v>
      </c>
      <c r="O70" s="4">
        <v>42271</v>
      </c>
      <c r="P70" s="1" t="str">
        <f>IF(I70&gt;70, "Accepted", "Rejected")</f>
        <v>Accepted</v>
      </c>
      <c r="Q70" s="4">
        <v>42274</v>
      </c>
      <c r="R70" s="1" t="str">
        <f>IF(P70="Accepted",IF(J70&gt;20, "Accepted", "Rejected"), "Rejected")</f>
        <v>Accepted</v>
      </c>
      <c r="S70" s="4">
        <v>42274</v>
      </c>
      <c r="T70" s="4">
        <v>42278</v>
      </c>
      <c r="U70" s="1" t="s">
        <v>136</v>
      </c>
      <c r="V70" s="8">
        <v>51000</v>
      </c>
      <c r="W70" t="s">
        <v>87</v>
      </c>
    </row>
    <row r="71" spans="1:23" x14ac:dyDescent="0.2">
      <c r="A71" s="1">
        <v>42</v>
      </c>
      <c r="B71" s="1">
        <v>597623</v>
      </c>
      <c r="C71" s="1">
        <v>45</v>
      </c>
      <c r="D71" s="1" t="s">
        <v>108</v>
      </c>
      <c r="E71" s="1" t="s">
        <v>109</v>
      </c>
      <c r="F71" t="s">
        <v>6</v>
      </c>
      <c r="G71">
        <v>676</v>
      </c>
      <c r="H71" s="1">
        <v>7</v>
      </c>
      <c r="I71" s="1">
        <v>55</v>
      </c>
      <c r="J71" s="1" t="s">
        <v>1</v>
      </c>
      <c r="K71" s="4">
        <v>42248</v>
      </c>
      <c r="L71" s="4">
        <v>42253</v>
      </c>
      <c r="M71" s="1">
        <v>2</v>
      </c>
      <c r="N71" s="4">
        <v>42255</v>
      </c>
      <c r="O71" s="4">
        <v>42260</v>
      </c>
      <c r="P71" s="1" t="str">
        <f>IF(I71&gt;70, "Accepted", "Rejected")</f>
        <v>Rejected</v>
      </c>
      <c r="Q71" s="4">
        <v>42261</v>
      </c>
      <c r="R71" s="1" t="s">
        <v>1</v>
      </c>
      <c r="S71" s="4" t="s">
        <v>1</v>
      </c>
      <c r="U71" s="1" t="s">
        <v>148</v>
      </c>
      <c r="V71" s="8"/>
      <c r="W71" t="s">
        <v>102</v>
      </c>
    </row>
    <row r="72" spans="1:23" x14ac:dyDescent="0.2">
      <c r="A72" s="1">
        <v>95</v>
      </c>
      <c r="B72" s="1">
        <v>612693</v>
      </c>
      <c r="C72" s="1">
        <v>25</v>
      </c>
      <c r="D72" s="1" t="s">
        <v>106</v>
      </c>
      <c r="E72" s="1" t="s">
        <v>110</v>
      </c>
      <c r="F72" t="s">
        <v>14</v>
      </c>
      <c r="G72">
        <v>354</v>
      </c>
      <c r="H72" s="1">
        <v>9</v>
      </c>
      <c r="I72" s="1">
        <v>74</v>
      </c>
      <c r="J72" s="1">
        <v>21</v>
      </c>
      <c r="K72" s="4">
        <v>42258</v>
      </c>
      <c r="L72" s="4">
        <v>42278</v>
      </c>
      <c r="M72" s="1">
        <v>2</v>
      </c>
      <c r="N72" s="4">
        <v>42280</v>
      </c>
      <c r="O72" s="4">
        <v>42284</v>
      </c>
      <c r="P72" s="1" t="str">
        <f>IF(I72&gt;70, "Accepted", "Rejected")</f>
        <v>Accepted</v>
      </c>
      <c r="Q72" s="4">
        <v>42286</v>
      </c>
      <c r="R72" s="1" t="str">
        <f>IF(P72="Accepted",IF(J72&gt;20, "Accepted", "Rejected"), "Rejected")</f>
        <v>Accepted</v>
      </c>
      <c r="S72" s="4">
        <v>42286</v>
      </c>
      <c r="U72" s="1" t="s">
        <v>164</v>
      </c>
      <c r="V72" s="8">
        <v>23700</v>
      </c>
      <c r="W72" t="s">
        <v>98</v>
      </c>
    </row>
    <row r="73" spans="1:23" x14ac:dyDescent="0.2">
      <c r="A73" s="1">
        <v>82</v>
      </c>
      <c r="B73" s="1">
        <v>613069</v>
      </c>
      <c r="C73" s="1">
        <v>35</v>
      </c>
      <c r="D73" s="1" t="s">
        <v>106</v>
      </c>
      <c r="E73" s="1" t="s">
        <v>110</v>
      </c>
      <c r="F73" t="s">
        <v>33</v>
      </c>
      <c r="G73">
        <v>587</v>
      </c>
      <c r="H73" s="1">
        <v>1</v>
      </c>
      <c r="I73" s="1" t="s">
        <v>1</v>
      </c>
      <c r="J73" s="1" t="s">
        <v>1</v>
      </c>
      <c r="K73" s="4">
        <v>42280</v>
      </c>
      <c r="L73" s="4">
        <v>42280</v>
      </c>
      <c r="M73" s="1">
        <v>1</v>
      </c>
      <c r="N73" s="4">
        <v>42281</v>
      </c>
      <c r="O73" s="4">
        <v>42281</v>
      </c>
      <c r="P73" s="1" t="s">
        <v>1</v>
      </c>
      <c r="R73" s="1" t="s">
        <v>1</v>
      </c>
      <c r="U73" s="1" t="s">
        <v>165</v>
      </c>
      <c r="V73" s="8"/>
      <c r="W73" t="s">
        <v>65</v>
      </c>
    </row>
    <row r="74" spans="1:23" x14ac:dyDescent="0.2">
      <c r="A74" s="1">
        <v>58</v>
      </c>
      <c r="B74" s="1">
        <v>614230</v>
      </c>
      <c r="C74" s="1">
        <v>33</v>
      </c>
      <c r="D74" s="1" t="s">
        <v>106</v>
      </c>
      <c r="E74" s="1" t="s">
        <v>109</v>
      </c>
      <c r="F74" t="s">
        <v>21</v>
      </c>
      <c r="G74">
        <v>181</v>
      </c>
      <c r="H74" s="1">
        <v>5</v>
      </c>
      <c r="I74" s="1">
        <v>88</v>
      </c>
      <c r="J74" s="1">
        <v>24</v>
      </c>
      <c r="K74" s="4">
        <v>42250</v>
      </c>
      <c r="L74" s="4">
        <v>42269</v>
      </c>
      <c r="M74" s="1">
        <v>2</v>
      </c>
      <c r="N74" s="4">
        <v>42276</v>
      </c>
      <c r="O74" s="4">
        <v>42277</v>
      </c>
      <c r="P74" s="1" t="str">
        <f t="shared" ref="P74:P80" si="6">IF(I74&gt;70, "Accepted", "Rejected")</f>
        <v>Accepted</v>
      </c>
      <c r="Q74" s="4">
        <v>42280</v>
      </c>
      <c r="R74" s="1" t="str">
        <f>IF(P74="Accepted",IF(J74&gt;20, "Accepted", "Rejected"), "Rejected")</f>
        <v>Accepted</v>
      </c>
      <c r="S74" s="4">
        <v>42282</v>
      </c>
      <c r="T74" s="4">
        <v>42289</v>
      </c>
      <c r="U74" s="1" t="s">
        <v>136</v>
      </c>
      <c r="V74" s="9">
        <v>25300</v>
      </c>
      <c r="W74" t="s">
        <v>40</v>
      </c>
    </row>
    <row r="75" spans="1:23" x14ac:dyDescent="0.2">
      <c r="A75" s="1">
        <v>81</v>
      </c>
      <c r="B75" s="1">
        <v>624735</v>
      </c>
      <c r="C75" s="1">
        <v>60</v>
      </c>
      <c r="D75" s="1" t="s">
        <v>106</v>
      </c>
      <c r="E75" s="1" t="s">
        <v>110</v>
      </c>
      <c r="F75" t="s">
        <v>22</v>
      </c>
      <c r="G75">
        <v>322</v>
      </c>
      <c r="H75" s="1">
        <v>6</v>
      </c>
      <c r="I75" s="1">
        <v>58</v>
      </c>
      <c r="J75" s="1" t="s">
        <v>1</v>
      </c>
      <c r="K75" s="4">
        <v>42273</v>
      </c>
      <c r="L75" s="4">
        <v>42273</v>
      </c>
      <c r="M75" s="1">
        <v>1</v>
      </c>
      <c r="N75" s="4">
        <v>42274</v>
      </c>
      <c r="O75" s="4">
        <v>42276</v>
      </c>
      <c r="P75" s="1" t="str">
        <f t="shared" si="6"/>
        <v>Rejected</v>
      </c>
      <c r="Q75" s="4">
        <v>42277</v>
      </c>
      <c r="R75" s="1" t="str">
        <f>IF(P75="Accepted",IF(J75&gt;20, "Accepted", "Rejected"), "Rejected")</f>
        <v>Rejected</v>
      </c>
      <c r="U75" s="1" t="s">
        <v>148</v>
      </c>
      <c r="V75" s="8"/>
      <c r="W75" t="s">
        <v>160</v>
      </c>
    </row>
    <row r="76" spans="1:23" x14ac:dyDescent="0.2">
      <c r="A76" s="1">
        <v>101</v>
      </c>
      <c r="B76" s="1">
        <v>626066</v>
      </c>
      <c r="C76" s="1">
        <v>40</v>
      </c>
      <c r="D76" s="1" t="s">
        <v>106</v>
      </c>
      <c r="E76" s="1" t="s">
        <v>110</v>
      </c>
      <c r="F76" t="s">
        <v>35</v>
      </c>
      <c r="G76">
        <v>314</v>
      </c>
      <c r="H76" s="1">
        <v>5</v>
      </c>
      <c r="I76" s="1">
        <v>86</v>
      </c>
      <c r="J76" s="1">
        <v>21</v>
      </c>
      <c r="K76" s="4">
        <v>42249</v>
      </c>
      <c r="L76" s="4">
        <v>42267</v>
      </c>
      <c r="M76" s="1">
        <v>3</v>
      </c>
      <c r="N76" s="4">
        <v>42268</v>
      </c>
      <c r="O76" s="4">
        <v>42277</v>
      </c>
      <c r="P76" s="1" t="str">
        <f t="shared" si="6"/>
        <v>Accepted</v>
      </c>
      <c r="Q76" s="4">
        <v>42278</v>
      </c>
      <c r="R76" s="1" t="str">
        <f>IF(P76="Accepted",IF(J76&gt;20, "Accepted", "Rejected"), "Rejected")</f>
        <v>Accepted</v>
      </c>
      <c r="S76" s="4">
        <v>42278</v>
      </c>
      <c r="T76" s="4">
        <v>42286</v>
      </c>
      <c r="U76" s="1" t="s">
        <v>136</v>
      </c>
      <c r="V76" s="8">
        <v>42000</v>
      </c>
      <c r="W76" t="s">
        <v>81</v>
      </c>
    </row>
    <row r="77" spans="1:23" x14ac:dyDescent="0.2">
      <c r="A77" s="1">
        <v>10</v>
      </c>
      <c r="B77" s="1">
        <v>632975</v>
      </c>
      <c r="C77" s="1">
        <v>27</v>
      </c>
      <c r="D77" s="1" t="s">
        <v>108</v>
      </c>
      <c r="E77" s="1" t="s">
        <v>109</v>
      </c>
      <c r="F77" t="s">
        <v>3</v>
      </c>
      <c r="G77">
        <v>692</v>
      </c>
      <c r="H77" s="1">
        <v>3</v>
      </c>
      <c r="I77" s="1">
        <v>72</v>
      </c>
      <c r="J77" s="1">
        <v>21</v>
      </c>
      <c r="K77" s="4">
        <v>42281</v>
      </c>
      <c r="L77" s="4">
        <v>42281</v>
      </c>
      <c r="M77" s="1">
        <v>1</v>
      </c>
      <c r="N77" s="4">
        <v>42283</v>
      </c>
      <c r="O77" s="4">
        <v>42286</v>
      </c>
      <c r="P77" s="1" t="str">
        <f t="shared" si="6"/>
        <v>Accepted</v>
      </c>
      <c r="Q77" s="4">
        <v>42288</v>
      </c>
      <c r="R77" s="1" t="str">
        <f>IF(P77="Accepted",IF(J77&gt;20, "Accepted", "Rejected"), "Rejected")</f>
        <v>Accepted</v>
      </c>
      <c r="S77" s="4">
        <v>42289</v>
      </c>
      <c r="U77" s="1" t="s">
        <v>166</v>
      </c>
      <c r="V77" s="8">
        <v>13500</v>
      </c>
      <c r="W77" t="s">
        <v>4</v>
      </c>
    </row>
    <row r="78" spans="1:23" x14ac:dyDescent="0.2">
      <c r="A78" s="1">
        <v>43</v>
      </c>
      <c r="B78" s="1">
        <v>647590</v>
      </c>
      <c r="C78" s="1">
        <v>25</v>
      </c>
      <c r="D78" s="1" t="s">
        <v>108</v>
      </c>
      <c r="E78" s="1" t="s">
        <v>109</v>
      </c>
      <c r="F78" t="s">
        <v>3</v>
      </c>
      <c r="G78">
        <v>110</v>
      </c>
      <c r="H78" s="1">
        <v>3</v>
      </c>
      <c r="I78" s="1">
        <v>70</v>
      </c>
      <c r="J78" s="1" t="s">
        <v>1</v>
      </c>
      <c r="K78" s="4">
        <v>42271</v>
      </c>
      <c r="L78" s="4">
        <v>42291</v>
      </c>
      <c r="M78" s="1">
        <v>3</v>
      </c>
      <c r="N78" s="4">
        <v>42291</v>
      </c>
      <c r="O78" s="4">
        <v>42307</v>
      </c>
      <c r="P78" s="1" t="str">
        <f t="shared" si="6"/>
        <v>Rejected</v>
      </c>
      <c r="Q78" s="4">
        <v>42308</v>
      </c>
      <c r="R78" s="1" t="s">
        <v>1</v>
      </c>
      <c r="S78" s="4" t="s">
        <v>1</v>
      </c>
      <c r="U78" s="1" t="s">
        <v>148</v>
      </c>
      <c r="V78" s="8"/>
      <c r="W78" t="s">
        <v>161</v>
      </c>
    </row>
    <row r="79" spans="1:23" x14ac:dyDescent="0.2">
      <c r="A79" s="1">
        <v>31</v>
      </c>
      <c r="B79" s="1">
        <v>650928</v>
      </c>
      <c r="C79" s="1">
        <v>41</v>
      </c>
      <c r="D79" s="1" t="s">
        <v>108</v>
      </c>
      <c r="E79" s="1" t="s">
        <v>109</v>
      </c>
      <c r="F79" t="s">
        <v>5</v>
      </c>
      <c r="G79">
        <v>167</v>
      </c>
      <c r="H79" s="1">
        <v>4</v>
      </c>
      <c r="I79" s="1">
        <v>72</v>
      </c>
      <c r="J79" s="1">
        <v>22</v>
      </c>
      <c r="K79" s="4">
        <v>42234</v>
      </c>
      <c r="L79" s="4">
        <v>42274</v>
      </c>
      <c r="M79" s="1">
        <v>3</v>
      </c>
      <c r="N79" s="4">
        <v>42276</v>
      </c>
      <c r="O79" s="4">
        <v>42282</v>
      </c>
      <c r="P79" s="1" t="str">
        <f t="shared" si="6"/>
        <v>Accepted</v>
      </c>
      <c r="Q79" s="4">
        <v>42284</v>
      </c>
      <c r="R79" s="1" t="str">
        <f>IF(P79="Accepted",IF(J79&gt;20, "Accepted", "Rejected"), "Rejected")</f>
        <v>Accepted</v>
      </c>
      <c r="S79" s="4">
        <v>42285</v>
      </c>
      <c r="T79" s="4">
        <v>42289</v>
      </c>
      <c r="U79" s="1" t="s">
        <v>136</v>
      </c>
      <c r="V79" s="8">
        <v>37700</v>
      </c>
      <c r="W79" t="s">
        <v>20</v>
      </c>
    </row>
    <row r="80" spans="1:23" x14ac:dyDescent="0.2">
      <c r="A80" s="1">
        <v>54</v>
      </c>
      <c r="B80" s="1">
        <v>653209</v>
      </c>
      <c r="C80" s="1">
        <v>43</v>
      </c>
      <c r="D80" s="1" t="s">
        <v>106</v>
      </c>
      <c r="E80" s="1" t="s">
        <v>109</v>
      </c>
      <c r="F80" t="s">
        <v>61</v>
      </c>
      <c r="G80">
        <v>292</v>
      </c>
      <c r="H80" s="1">
        <v>9</v>
      </c>
      <c r="I80" s="1">
        <v>73</v>
      </c>
      <c r="J80" s="1">
        <v>25</v>
      </c>
      <c r="K80" s="4">
        <v>42264</v>
      </c>
      <c r="L80" s="4">
        <v>42264</v>
      </c>
      <c r="M80" s="1">
        <v>1</v>
      </c>
      <c r="N80" s="4">
        <v>42266</v>
      </c>
      <c r="O80" s="4">
        <v>42268</v>
      </c>
      <c r="P80" s="1" t="str">
        <f t="shared" si="6"/>
        <v>Accepted</v>
      </c>
      <c r="Q80" s="4">
        <v>42268</v>
      </c>
      <c r="R80" s="1" t="str">
        <f>IF(P80="Accepted",IF(J80&gt;20, "Accepted", "Rejected"), "Rejected")</f>
        <v>Accepted</v>
      </c>
      <c r="S80" s="4">
        <v>42286</v>
      </c>
      <c r="T80" s="4">
        <v>42293</v>
      </c>
      <c r="U80" s="1" t="s">
        <v>136</v>
      </c>
      <c r="V80" s="9">
        <v>45000</v>
      </c>
      <c r="W80" s="2" t="s">
        <v>80</v>
      </c>
    </row>
    <row r="81" spans="1:23" x14ac:dyDescent="0.2">
      <c r="A81" s="1">
        <v>102</v>
      </c>
      <c r="B81" s="1">
        <v>661629</v>
      </c>
      <c r="C81" s="1">
        <v>52</v>
      </c>
      <c r="D81" s="1" t="s">
        <v>108</v>
      </c>
      <c r="E81" s="1" t="s">
        <v>110</v>
      </c>
      <c r="F81" t="s">
        <v>7</v>
      </c>
      <c r="G81">
        <v>633</v>
      </c>
      <c r="H81" s="1">
        <v>10</v>
      </c>
      <c r="I81" s="1" t="s">
        <v>1</v>
      </c>
      <c r="J81" s="1" t="s">
        <v>1</v>
      </c>
      <c r="K81" s="4">
        <v>42292</v>
      </c>
      <c r="L81" s="4">
        <v>42292</v>
      </c>
      <c r="M81" s="1">
        <v>1</v>
      </c>
      <c r="N81" s="4">
        <v>42293</v>
      </c>
      <c r="O81" s="4">
        <v>42294</v>
      </c>
      <c r="P81" s="1" t="s">
        <v>1</v>
      </c>
      <c r="R81" s="1" t="s">
        <v>1</v>
      </c>
      <c r="V81" s="8"/>
      <c r="W81" t="s">
        <v>67</v>
      </c>
    </row>
    <row r="82" spans="1:23" x14ac:dyDescent="0.2">
      <c r="A82" s="1">
        <v>83</v>
      </c>
      <c r="B82" s="1">
        <v>728947</v>
      </c>
      <c r="C82" s="1">
        <v>37</v>
      </c>
      <c r="D82" s="1" t="s">
        <v>106</v>
      </c>
      <c r="E82" s="1" t="s">
        <v>109</v>
      </c>
      <c r="F82" t="s">
        <v>10</v>
      </c>
      <c r="G82">
        <v>687</v>
      </c>
      <c r="H82" s="1">
        <v>13</v>
      </c>
      <c r="I82" s="1">
        <v>71</v>
      </c>
      <c r="J82" s="1">
        <v>18</v>
      </c>
      <c r="K82" s="4">
        <v>42233</v>
      </c>
      <c r="L82" s="4">
        <v>42291</v>
      </c>
      <c r="M82" s="1">
        <v>3</v>
      </c>
      <c r="N82" s="4">
        <v>42296</v>
      </c>
      <c r="O82" s="4">
        <v>42297</v>
      </c>
      <c r="P82" s="1" t="str">
        <f>IF(I82&gt;70, "Accepted", "Rejected")</f>
        <v>Accepted</v>
      </c>
      <c r="Q82" s="4">
        <v>42298</v>
      </c>
      <c r="R82" s="1" t="str">
        <f>IF(P82="Accepted",IF(J82&gt;20, "Accepted", "Rejected"), "Rejected")</f>
        <v>Rejected</v>
      </c>
      <c r="S82" s="4">
        <v>42298</v>
      </c>
      <c r="U82" s="1" t="s">
        <v>137</v>
      </c>
      <c r="V82" s="8"/>
      <c r="W82" t="s">
        <v>162</v>
      </c>
    </row>
    <row r="83" spans="1:23" x14ac:dyDescent="0.2">
      <c r="A83" s="1">
        <v>55</v>
      </c>
      <c r="B83" s="1">
        <v>736520</v>
      </c>
      <c r="C83" s="1">
        <v>45</v>
      </c>
      <c r="D83" s="1" t="s">
        <v>106</v>
      </c>
      <c r="E83" s="1" t="s">
        <v>110</v>
      </c>
      <c r="F83" t="s">
        <v>10</v>
      </c>
      <c r="G83">
        <v>214</v>
      </c>
      <c r="H83" s="1">
        <v>11</v>
      </c>
      <c r="I83" s="1">
        <v>96</v>
      </c>
      <c r="J83" s="1">
        <v>25</v>
      </c>
      <c r="K83" s="4">
        <v>42244</v>
      </c>
      <c r="L83" s="4">
        <v>42253</v>
      </c>
      <c r="M83" s="1">
        <v>2</v>
      </c>
      <c r="N83" s="4">
        <v>42264</v>
      </c>
      <c r="O83" s="4">
        <v>42266</v>
      </c>
      <c r="P83" s="1" t="str">
        <f>IF(I83&gt;70, "Accepted", "Rejected")</f>
        <v>Accepted</v>
      </c>
      <c r="Q83" s="4">
        <v>42267</v>
      </c>
      <c r="R83" s="1" t="str">
        <f>IF(P83="Accepted",IF(J83&gt;20, "Accepted", "Rejected"), "Rejected")</f>
        <v>Accepted</v>
      </c>
      <c r="S83" s="4">
        <v>42270</v>
      </c>
      <c r="T83" s="4">
        <v>42274</v>
      </c>
      <c r="U83" s="1" t="s">
        <v>136</v>
      </c>
      <c r="V83" s="11">
        <v>78500</v>
      </c>
      <c r="W83" t="s">
        <v>48</v>
      </c>
    </row>
    <row r="84" spans="1:23" ht="16" x14ac:dyDescent="0.2">
      <c r="A84" s="1">
        <v>75</v>
      </c>
      <c r="B84" s="1">
        <v>763152</v>
      </c>
      <c r="C84" s="1">
        <v>21</v>
      </c>
      <c r="D84" s="1" t="s">
        <v>108</v>
      </c>
      <c r="E84" s="1" t="s">
        <v>110</v>
      </c>
      <c r="F84" t="s">
        <v>51</v>
      </c>
      <c r="G84">
        <v>624</v>
      </c>
      <c r="H84" s="1">
        <v>2</v>
      </c>
      <c r="I84" s="1">
        <v>87</v>
      </c>
      <c r="J84" s="1">
        <v>23</v>
      </c>
      <c r="K84" s="4">
        <v>42270</v>
      </c>
      <c r="L84" s="4">
        <v>42277</v>
      </c>
      <c r="M84" s="1">
        <v>2</v>
      </c>
      <c r="N84" s="4">
        <v>42279</v>
      </c>
      <c r="O84" s="4">
        <v>42282</v>
      </c>
      <c r="P84" s="1" t="str">
        <f>IF(I84&gt;70, "Accepted", "Rejected")</f>
        <v>Accepted</v>
      </c>
      <c r="Q84" s="4">
        <v>42287</v>
      </c>
      <c r="R84" s="1" t="str">
        <f>IF(P84="Accepted",IF(J84&gt;20, "Accepted", "Rejected"), "Rejected")</f>
        <v>Accepted</v>
      </c>
      <c r="S84" s="4">
        <v>42287</v>
      </c>
      <c r="T84" s="4">
        <v>42290</v>
      </c>
      <c r="U84" s="1" t="s">
        <v>136</v>
      </c>
      <c r="V84" s="8">
        <v>26000</v>
      </c>
      <c r="W84" s="12" t="s">
        <v>101</v>
      </c>
    </row>
    <row r="85" spans="1:23" x14ac:dyDescent="0.2">
      <c r="A85" s="1">
        <v>19</v>
      </c>
      <c r="B85" s="1">
        <v>777421</v>
      </c>
      <c r="C85" s="1">
        <v>26</v>
      </c>
      <c r="D85" s="1" t="s">
        <v>106</v>
      </c>
      <c r="E85" s="1" t="s">
        <v>109</v>
      </c>
      <c r="F85" t="s">
        <v>68</v>
      </c>
      <c r="G85">
        <v>590</v>
      </c>
      <c r="H85" s="1">
        <v>1</v>
      </c>
      <c r="I85" s="1">
        <v>95</v>
      </c>
      <c r="J85" s="1">
        <v>28</v>
      </c>
      <c r="K85" s="4">
        <v>42265</v>
      </c>
      <c r="L85" s="4">
        <v>42265</v>
      </c>
      <c r="M85" s="1">
        <v>1</v>
      </c>
      <c r="N85" s="4">
        <v>42270</v>
      </c>
      <c r="O85" s="4">
        <v>42274</v>
      </c>
      <c r="P85" s="1" t="str">
        <f>IF(I85&gt;70, "Accepted", "Rejected")</f>
        <v>Accepted</v>
      </c>
      <c r="Q85" s="4">
        <v>42276</v>
      </c>
      <c r="R85" s="1" t="str">
        <f>IF(P85="Accepted",IF(J85&gt;20, "Accepted", "Rejected"), "Rejected")</f>
        <v>Accepted</v>
      </c>
      <c r="S85" s="4">
        <v>42276</v>
      </c>
      <c r="T85" s="4">
        <v>42280</v>
      </c>
      <c r="U85" s="1" t="s">
        <v>136</v>
      </c>
      <c r="V85" s="8">
        <v>102600</v>
      </c>
      <c r="W85" t="s">
        <v>56</v>
      </c>
    </row>
    <row r="86" spans="1:23" x14ac:dyDescent="0.2">
      <c r="A86" s="1">
        <v>8</v>
      </c>
      <c r="B86" s="1">
        <v>786582</v>
      </c>
      <c r="C86" s="1">
        <v>28</v>
      </c>
      <c r="D86" s="1" t="s">
        <v>108</v>
      </c>
      <c r="E86" s="1" t="s">
        <v>109</v>
      </c>
      <c r="F86" t="s">
        <v>12</v>
      </c>
      <c r="G86">
        <v>260</v>
      </c>
      <c r="H86" s="1">
        <v>4</v>
      </c>
      <c r="I86" s="1" t="s">
        <v>1</v>
      </c>
      <c r="J86" s="1" t="s">
        <v>1</v>
      </c>
      <c r="K86" s="4">
        <v>42264</v>
      </c>
      <c r="L86" s="4">
        <v>42264</v>
      </c>
      <c r="M86" s="1">
        <v>1</v>
      </c>
      <c r="N86" s="4">
        <v>42267</v>
      </c>
      <c r="O86" s="4">
        <v>42269</v>
      </c>
      <c r="P86" s="1" t="s">
        <v>1</v>
      </c>
      <c r="R86" s="1" t="s">
        <v>1</v>
      </c>
      <c r="S86" s="1" t="s">
        <v>1</v>
      </c>
      <c r="U86" s="1" t="s">
        <v>165</v>
      </c>
      <c r="V86" s="8"/>
      <c r="W86" t="s">
        <v>55</v>
      </c>
    </row>
    <row r="87" spans="1:23" x14ac:dyDescent="0.2">
      <c r="A87" s="1">
        <v>68</v>
      </c>
      <c r="B87" s="1">
        <v>789520</v>
      </c>
      <c r="C87" s="1">
        <v>47</v>
      </c>
      <c r="D87" s="1" t="s">
        <v>106</v>
      </c>
      <c r="E87" s="1" t="s">
        <v>109</v>
      </c>
      <c r="F87" t="s">
        <v>6</v>
      </c>
      <c r="G87">
        <v>331</v>
      </c>
      <c r="H87" s="1">
        <v>1</v>
      </c>
      <c r="I87" s="1">
        <v>95</v>
      </c>
      <c r="J87" s="1">
        <v>28</v>
      </c>
      <c r="K87" s="4">
        <v>42275</v>
      </c>
      <c r="L87" s="4">
        <v>42275</v>
      </c>
      <c r="M87" s="1">
        <v>1</v>
      </c>
      <c r="N87" s="4">
        <v>42277</v>
      </c>
      <c r="O87" s="4">
        <v>42280</v>
      </c>
      <c r="P87" s="1" t="str">
        <f>IF(I87&gt;70, "Accepted", "Rejected")</f>
        <v>Accepted</v>
      </c>
      <c r="Q87" s="4">
        <v>42282</v>
      </c>
      <c r="R87" s="1" t="str">
        <f t="shared" ref="R87:R94" si="7">IF(P87="Accepted",IF(J87&gt;20, "Accepted", "Rejected"), "Rejected")</f>
        <v>Accepted</v>
      </c>
      <c r="S87" s="4">
        <v>42284</v>
      </c>
      <c r="T87" s="4">
        <v>42288</v>
      </c>
      <c r="U87" s="1" t="s">
        <v>136</v>
      </c>
      <c r="V87" s="8">
        <v>85600</v>
      </c>
      <c r="W87" t="s">
        <v>63</v>
      </c>
    </row>
    <row r="88" spans="1:23" x14ac:dyDescent="0.2">
      <c r="A88" s="1">
        <v>48</v>
      </c>
      <c r="B88" s="1">
        <v>795268</v>
      </c>
      <c r="C88" s="1">
        <v>46</v>
      </c>
      <c r="D88" s="1" t="s">
        <v>108</v>
      </c>
      <c r="E88" s="1" t="s">
        <v>109</v>
      </c>
      <c r="F88" t="s">
        <v>28</v>
      </c>
      <c r="G88">
        <v>670</v>
      </c>
      <c r="H88" s="1">
        <v>17</v>
      </c>
      <c r="I88" s="1">
        <v>85</v>
      </c>
      <c r="J88" s="1">
        <v>22</v>
      </c>
      <c r="K88" s="4">
        <v>42234</v>
      </c>
      <c r="L88" s="4">
        <v>42260</v>
      </c>
      <c r="M88" s="1">
        <v>3</v>
      </c>
      <c r="N88" s="4">
        <v>42264</v>
      </c>
      <c r="O88" s="4">
        <v>42266</v>
      </c>
      <c r="P88" s="1" t="str">
        <f>IF(I88&gt;70, "Accepted", "Rejected")</f>
        <v>Accepted</v>
      </c>
      <c r="Q88" s="4">
        <v>42276</v>
      </c>
      <c r="R88" s="1" t="str">
        <f t="shared" si="7"/>
        <v>Accepted</v>
      </c>
      <c r="S88" s="4">
        <v>42280</v>
      </c>
      <c r="T88" s="4">
        <v>42282</v>
      </c>
      <c r="U88" s="1" t="s">
        <v>136</v>
      </c>
      <c r="V88" s="9">
        <v>53500</v>
      </c>
      <c r="W88" t="s">
        <v>95</v>
      </c>
    </row>
    <row r="89" spans="1:23" x14ac:dyDescent="0.2">
      <c r="A89" s="1">
        <v>33</v>
      </c>
      <c r="B89" s="1">
        <v>807040</v>
      </c>
      <c r="C89" s="1">
        <v>75</v>
      </c>
      <c r="D89" s="1" t="s">
        <v>106</v>
      </c>
      <c r="E89" s="1" t="s">
        <v>109</v>
      </c>
      <c r="F89" t="s">
        <v>6</v>
      </c>
      <c r="G89">
        <v>676</v>
      </c>
      <c r="H89" s="1">
        <v>5</v>
      </c>
      <c r="I89" s="1">
        <v>71</v>
      </c>
      <c r="J89" s="1">
        <v>19</v>
      </c>
      <c r="K89" s="4">
        <v>42207</v>
      </c>
      <c r="L89" s="4">
        <v>42283</v>
      </c>
      <c r="M89" s="1">
        <v>5</v>
      </c>
      <c r="N89" s="4">
        <v>42287</v>
      </c>
      <c r="O89" s="4">
        <v>42289</v>
      </c>
      <c r="P89" s="1" t="str">
        <f>IF(I89&gt;70, "Accepted", "Rejected")</f>
        <v>Accepted</v>
      </c>
      <c r="Q89" s="4">
        <v>42290</v>
      </c>
      <c r="R89" s="1" t="str">
        <f t="shared" si="7"/>
        <v>Rejected</v>
      </c>
      <c r="S89" s="4">
        <v>42291</v>
      </c>
      <c r="U89" s="1" t="s">
        <v>137</v>
      </c>
      <c r="V89" s="8"/>
      <c r="W89" t="s">
        <v>144</v>
      </c>
    </row>
    <row r="90" spans="1:23" x14ac:dyDescent="0.2">
      <c r="A90" s="1">
        <v>51</v>
      </c>
      <c r="B90" s="1">
        <v>857931</v>
      </c>
      <c r="C90" s="1">
        <v>30</v>
      </c>
      <c r="D90" s="1" t="s">
        <v>108</v>
      </c>
      <c r="E90" s="1" t="s">
        <v>110</v>
      </c>
      <c r="F90" t="s">
        <v>52</v>
      </c>
      <c r="G90">
        <v>234</v>
      </c>
      <c r="H90" s="1">
        <v>4</v>
      </c>
      <c r="I90" s="1">
        <v>70</v>
      </c>
      <c r="J90" s="1">
        <v>19</v>
      </c>
      <c r="K90" s="4">
        <v>42295</v>
      </c>
      <c r="L90" s="4">
        <v>42300</v>
      </c>
      <c r="M90" s="1">
        <v>2</v>
      </c>
      <c r="N90" s="4">
        <v>42305</v>
      </c>
      <c r="O90" s="4">
        <v>42311</v>
      </c>
      <c r="P90" s="1" t="s">
        <v>111</v>
      </c>
      <c r="Q90" s="4">
        <v>42312</v>
      </c>
      <c r="R90" s="1" t="str">
        <f t="shared" si="7"/>
        <v>Rejected</v>
      </c>
      <c r="S90" s="4">
        <v>42312</v>
      </c>
      <c r="U90" s="1" t="s">
        <v>137</v>
      </c>
      <c r="V90" s="9"/>
      <c r="W90" t="s">
        <v>145</v>
      </c>
    </row>
    <row r="91" spans="1:23" x14ac:dyDescent="0.2">
      <c r="A91" s="1">
        <v>49</v>
      </c>
      <c r="B91" s="1">
        <v>857963</v>
      </c>
      <c r="C91" s="1">
        <v>49</v>
      </c>
      <c r="D91" s="1" t="s">
        <v>106</v>
      </c>
      <c r="E91" s="1" t="s">
        <v>110</v>
      </c>
      <c r="F91" t="s">
        <v>6</v>
      </c>
      <c r="G91">
        <v>233</v>
      </c>
      <c r="H91" s="1">
        <v>5</v>
      </c>
      <c r="I91" s="1">
        <v>90</v>
      </c>
      <c r="J91" s="1">
        <v>29</v>
      </c>
      <c r="K91" s="4">
        <v>42254</v>
      </c>
      <c r="L91" s="4">
        <v>42266</v>
      </c>
      <c r="M91" s="1">
        <v>2</v>
      </c>
      <c r="N91" s="4">
        <v>42271</v>
      </c>
      <c r="O91" s="4">
        <v>42273</v>
      </c>
      <c r="P91" s="1" t="str">
        <f t="shared" ref="P91:P97" si="8">IF(I91&gt;70, "Accepted", "Rejected")</f>
        <v>Accepted</v>
      </c>
      <c r="Q91" s="4">
        <v>42273</v>
      </c>
      <c r="R91" s="1" t="str">
        <f t="shared" si="7"/>
        <v>Accepted</v>
      </c>
      <c r="S91" s="4">
        <v>42275</v>
      </c>
      <c r="T91" s="4">
        <v>42277</v>
      </c>
      <c r="U91" s="1" t="s">
        <v>136</v>
      </c>
      <c r="V91" s="9">
        <v>58000</v>
      </c>
      <c r="W91" t="s">
        <v>46</v>
      </c>
    </row>
    <row r="92" spans="1:23" x14ac:dyDescent="0.2">
      <c r="A92" s="1">
        <v>37</v>
      </c>
      <c r="B92" s="1">
        <v>873450</v>
      </c>
      <c r="C92" s="1">
        <v>25</v>
      </c>
      <c r="D92" s="1" t="s">
        <v>108</v>
      </c>
      <c r="E92" s="1" t="s">
        <v>110</v>
      </c>
      <c r="F92" t="s">
        <v>13</v>
      </c>
      <c r="G92">
        <v>440</v>
      </c>
      <c r="H92" s="1">
        <v>2</v>
      </c>
      <c r="I92" s="1">
        <v>78</v>
      </c>
      <c r="J92" s="1">
        <v>17</v>
      </c>
      <c r="K92" s="4">
        <v>42288</v>
      </c>
      <c r="L92" s="4">
        <v>42288</v>
      </c>
      <c r="M92" s="1">
        <v>1</v>
      </c>
      <c r="N92" s="4">
        <v>42289</v>
      </c>
      <c r="O92" s="4">
        <v>42291</v>
      </c>
      <c r="P92" s="1" t="str">
        <f t="shared" si="8"/>
        <v>Accepted</v>
      </c>
      <c r="Q92" s="4">
        <v>42292</v>
      </c>
      <c r="R92" s="1" t="str">
        <f t="shared" si="7"/>
        <v>Rejected</v>
      </c>
      <c r="S92" s="4">
        <v>42292</v>
      </c>
      <c r="U92" s="1" t="s">
        <v>137</v>
      </c>
      <c r="V92" s="8"/>
      <c r="W92" t="s">
        <v>146</v>
      </c>
    </row>
    <row r="93" spans="1:23" x14ac:dyDescent="0.2">
      <c r="A93" s="1">
        <v>47</v>
      </c>
      <c r="B93" s="1">
        <v>879346</v>
      </c>
      <c r="C93" s="1">
        <v>37</v>
      </c>
      <c r="D93" s="1" t="s">
        <v>106</v>
      </c>
      <c r="E93" s="1" t="s">
        <v>109</v>
      </c>
      <c r="F93" t="s">
        <v>13</v>
      </c>
      <c r="G93">
        <v>440</v>
      </c>
      <c r="H93" s="1">
        <v>2</v>
      </c>
      <c r="I93" s="1">
        <v>75</v>
      </c>
      <c r="J93" s="1">
        <v>27</v>
      </c>
      <c r="K93" s="4">
        <v>42283</v>
      </c>
      <c r="L93" s="4">
        <v>42283</v>
      </c>
      <c r="M93" s="1">
        <v>1</v>
      </c>
      <c r="N93" s="4">
        <v>42287</v>
      </c>
      <c r="O93" s="4">
        <v>42288</v>
      </c>
      <c r="P93" s="1" t="str">
        <f t="shared" si="8"/>
        <v>Accepted</v>
      </c>
      <c r="Q93" s="4">
        <v>42292</v>
      </c>
      <c r="R93" s="1" t="str">
        <f t="shared" si="7"/>
        <v>Accepted</v>
      </c>
      <c r="S93" s="4">
        <v>42294</v>
      </c>
      <c r="U93" s="1" t="s">
        <v>166</v>
      </c>
      <c r="V93" s="9">
        <v>11700</v>
      </c>
      <c r="W93" t="s">
        <v>88</v>
      </c>
    </row>
    <row r="94" spans="1:23" x14ac:dyDescent="0.2">
      <c r="A94" s="1">
        <v>44</v>
      </c>
      <c r="B94" s="1">
        <v>893452</v>
      </c>
      <c r="C94" s="1">
        <v>51</v>
      </c>
      <c r="D94" s="1" t="s">
        <v>106</v>
      </c>
      <c r="E94" s="1" t="s">
        <v>110</v>
      </c>
      <c r="F94" t="s">
        <v>2</v>
      </c>
      <c r="G94">
        <v>243</v>
      </c>
      <c r="H94" s="1">
        <v>11</v>
      </c>
      <c r="I94" s="1">
        <v>97</v>
      </c>
      <c r="J94" s="1">
        <v>21</v>
      </c>
      <c r="K94" s="4">
        <v>42208</v>
      </c>
      <c r="L94" s="4">
        <v>42250</v>
      </c>
      <c r="M94" s="1">
        <v>2</v>
      </c>
      <c r="N94" s="4">
        <v>42250</v>
      </c>
      <c r="O94" s="4">
        <v>42255</v>
      </c>
      <c r="P94" s="1" t="str">
        <f t="shared" si="8"/>
        <v>Accepted</v>
      </c>
      <c r="Q94" s="4">
        <v>42256</v>
      </c>
      <c r="R94" s="1" t="str">
        <f t="shared" si="7"/>
        <v>Accepted</v>
      </c>
      <c r="S94" s="4">
        <v>42258</v>
      </c>
      <c r="T94" s="4">
        <v>42263</v>
      </c>
      <c r="U94" s="1" t="s">
        <v>136</v>
      </c>
      <c r="V94" s="8">
        <v>92000</v>
      </c>
      <c r="W94" t="s">
        <v>76</v>
      </c>
    </row>
    <row r="95" spans="1:23" x14ac:dyDescent="0.2">
      <c r="A95" s="1">
        <v>21</v>
      </c>
      <c r="B95" s="1">
        <v>898922</v>
      </c>
      <c r="C95" s="1">
        <v>52</v>
      </c>
      <c r="D95" s="1" t="s">
        <v>106</v>
      </c>
      <c r="E95" s="1" t="s">
        <v>110</v>
      </c>
      <c r="F95" t="s">
        <v>6</v>
      </c>
      <c r="G95">
        <v>302</v>
      </c>
      <c r="H95" s="1">
        <v>1</v>
      </c>
      <c r="I95" s="1">
        <v>69</v>
      </c>
      <c r="J95" s="1" t="s">
        <v>1</v>
      </c>
      <c r="K95" s="4">
        <v>42232</v>
      </c>
      <c r="L95" s="4">
        <v>42240</v>
      </c>
      <c r="M95" s="1">
        <v>2</v>
      </c>
      <c r="N95" s="4">
        <v>42243</v>
      </c>
      <c r="O95" s="4">
        <v>42248</v>
      </c>
      <c r="P95" s="1" t="str">
        <f t="shared" si="8"/>
        <v>Rejected</v>
      </c>
      <c r="Q95" s="4">
        <v>42251</v>
      </c>
      <c r="R95" s="1" t="s">
        <v>1</v>
      </c>
      <c r="S95" s="1" t="s">
        <v>1</v>
      </c>
      <c r="U95" s="1" t="s">
        <v>148</v>
      </c>
      <c r="V95" s="8"/>
      <c r="W95" t="s">
        <v>49</v>
      </c>
    </row>
    <row r="96" spans="1:23" x14ac:dyDescent="0.2">
      <c r="A96" s="1">
        <v>18</v>
      </c>
      <c r="B96" s="1">
        <v>908033</v>
      </c>
      <c r="C96" s="1">
        <v>26</v>
      </c>
      <c r="D96" s="1" t="s">
        <v>108</v>
      </c>
      <c r="E96" s="1" t="s">
        <v>109</v>
      </c>
      <c r="F96" t="s">
        <v>14</v>
      </c>
      <c r="G96">
        <v>354</v>
      </c>
      <c r="H96" s="1">
        <v>2</v>
      </c>
      <c r="I96" s="1">
        <v>34</v>
      </c>
      <c r="J96" s="1" t="s">
        <v>1</v>
      </c>
      <c r="K96" s="4">
        <v>42207</v>
      </c>
      <c r="L96" s="4">
        <v>42269</v>
      </c>
      <c r="M96" s="1">
        <v>2</v>
      </c>
      <c r="N96" s="4">
        <v>42272</v>
      </c>
      <c r="O96" s="4">
        <v>42276</v>
      </c>
      <c r="P96" s="1" t="str">
        <f t="shared" si="8"/>
        <v>Rejected</v>
      </c>
      <c r="Q96" s="4">
        <v>42277</v>
      </c>
      <c r="R96" s="1" t="s">
        <v>1</v>
      </c>
      <c r="S96" s="1" t="s">
        <v>1</v>
      </c>
      <c r="U96" s="1" t="s">
        <v>148</v>
      </c>
      <c r="V96" s="8"/>
      <c r="W96" s="2" t="s">
        <v>15</v>
      </c>
    </row>
    <row r="97" spans="1:23" x14ac:dyDescent="0.2">
      <c r="A97" s="1">
        <v>62</v>
      </c>
      <c r="B97" s="1">
        <v>930127</v>
      </c>
      <c r="C97" s="1">
        <v>39</v>
      </c>
      <c r="D97" s="1" t="s">
        <v>107</v>
      </c>
      <c r="E97" s="1" t="s">
        <v>109</v>
      </c>
      <c r="F97" t="s">
        <v>13</v>
      </c>
      <c r="G97">
        <v>275</v>
      </c>
      <c r="H97" s="1">
        <v>6</v>
      </c>
      <c r="I97" s="1">
        <v>72</v>
      </c>
      <c r="J97" s="1">
        <v>22</v>
      </c>
      <c r="K97" s="4">
        <v>42228</v>
      </c>
      <c r="L97" s="4">
        <v>42292</v>
      </c>
      <c r="M97" s="1">
        <v>4</v>
      </c>
      <c r="N97" s="4">
        <v>42293</v>
      </c>
      <c r="O97" s="4">
        <v>42295</v>
      </c>
      <c r="P97" s="1" t="str">
        <f t="shared" si="8"/>
        <v>Accepted</v>
      </c>
      <c r="Q97" s="4">
        <v>42297</v>
      </c>
      <c r="R97" s="1" t="str">
        <f>IF(P97="Accepted",IF(J97&gt;20, "Accepted", "Rejected"), "Rejected")</f>
        <v>Accepted</v>
      </c>
      <c r="S97" s="4">
        <v>42299</v>
      </c>
      <c r="T97" s="4">
        <v>42302</v>
      </c>
      <c r="U97" s="1" t="s">
        <v>164</v>
      </c>
      <c r="V97" s="9">
        <v>87000</v>
      </c>
      <c r="W97" t="s">
        <v>79</v>
      </c>
    </row>
    <row r="98" spans="1:23" x14ac:dyDescent="0.2">
      <c r="A98" s="1">
        <v>57</v>
      </c>
      <c r="B98" s="1">
        <v>931201</v>
      </c>
      <c r="C98" s="1">
        <v>27</v>
      </c>
      <c r="D98" s="1" t="s">
        <v>108</v>
      </c>
      <c r="E98" s="1" t="s">
        <v>109</v>
      </c>
      <c r="F98" t="s">
        <v>6</v>
      </c>
      <c r="G98">
        <v>676</v>
      </c>
      <c r="H98" s="1">
        <v>4</v>
      </c>
      <c r="I98" s="1" t="s">
        <v>1</v>
      </c>
      <c r="J98" s="1" t="s">
        <v>1</v>
      </c>
      <c r="K98" s="4">
        <v>42274</v>
      </c>
      <c r="L98" s="4">
        <v>42274</v>
      </c>
      <c r="M98" s="1">
        <v>1</v>
      </c>
      <c r="N98" s="4">
        <v>42277</v>
      </c>
      <c r="O98" s="4">
        <v>42279</v>
      </c>
      <c r="P98" s="1" t="s">
        <v>1</v>
      </c>
      <c r="R98" s="1" t="s">
        <v>1</v>
      </c>
      <c r="S98" s="1" t="s">
        <v>1</v>
      </c>
      <c r="U98" s="1" t="s">
        <v>165</v>
      </c>
      <c r="V98" s="9"/>
      <c r="W98" t="s">
        <v>69</v>
      </c>
    </row>
    <row r="99" spans="1:23" x14ac:dyDescent="0.2">
      <c r="A99" s="1">
        <v>59</v>
      </c>
      <c r="B99" s="1">
        <v>963450</v>
      </c>
      <c r="C99" s="1">
        <v>36</v>
      </c>
      <c r="D99" s="1" t="s">
        <v>108</v>
      </c>
      <c r="E99" s="1" t="s">
        <v>110</v>
      </c>
      <c r="F99" t="s">
        <v>6</v>
      </c>
      <c r="G99">
        <v>631</v>
      </c>
      <c r="H99" s="1">
        <v>3</v>
      </c>
      <c r="I99" s="1">
        <v>72</v>
      </c>
      <c r="J99" s="1">
        <v>21</v>
      </c>
      <c r="K99" s="4">
        <v>42223</v>
      </c>
      <c r="L99" s="4">
        <v>42223</v>
      </c>
      <c r="M99" s="1">
        <v>1</v>
      </c>
      <c r="N99" s="4">
        <v>42227</v>
      </c>
      <c r="O99" s="4">
        <v>42229</v>
      </c>
      <c r="P99" s="1" t="str">
        <f t="shared" ref="P99:P104" si="9">IF(I99&gt;70, "Accepted", "Rejected")</f>
        <v>Accepted</v>
      </c>
      <c r="Q99" s="4">
        <v>42229</v>
      </c>
      <c r="R99" s="1" t="str">
        <f>IF(P99="Accepted",IF(J99&gt;20, "Accepted", "Rejected"), "Rejected")</f>
        <v>Accepted</v>
      </c>
      <c r="S99" s="4">
        <v>42231</v>
      </c>
      <c r="U99" s="1" t="s">
        <v>166</v>
      </c>
      <c r="V99" s="9">
        <v>26000</v>
      </c>
      <c r="W99" t="s">
        <v>62</v>
      </c>
    </row>
    <row r="100" spans="1:23" x14ac:dyDescent="0.2">
      <c r="A100" s="1">
        <v>34</v>
      </c>
      <c r="B100" s="1">
        <v>975432</v>
      </c>
      <c r="C100" s="1">
        <v>44</v>
      </c>
      <c r="D100" s="1" t="s">
        <v>108</v>
      </c>
      <c r="E100" s="1" t="s">
        <v>109</v>
      </c>
      <c r="F100" t="s">
        <v>50</v>
      </c>
      <c r="G100">
        <v>393</v>
      </c>
      <c r="H100" s="1">
        <v>3</v>
      </c>
      <c r="I100" s="1">
        <v>58</v>
      </c>
      <c r="J100" s="1" t="s">
        <v>1</v>
      </c>
      <c r="K100" s="4">
        <v>42275</v>
      </c>
      <c r="L100" s="4">
        <v>42283</v>
      </c>
      <c r="M100" s="1">
        <v>2</v>
      </c>
      <c r="N100" s="4">
        <v>42284</v>
      </c>
      <c r="O100" s="4">
        <v>42286</v>
      </c>
      <c r="P100" s="1" t="str">
        <f t="shared" si="9"/>
        <v>Rejected</v>
      </c>
      <c r="Q100" s="4">
        <v>42287</v>
      </c>
      <c r="R100" s="1" t="s">
        <v>1</v>
      </c>
      <c r="S100" s="1" t="s">
        <v>1</v>
      </c>
      <c r="U100" s="1" t="s">
        <v>148</v>
      </c>
      <c r="V100" s="8"/>
      <c r="W100" t="s">
        <v>86</v>
      </c>
    </row>
    <row r="101" spans="1:23" x14ac:dyDescent="0.2">
      <c r="A101" s="1">
        <v>67</v>
      </c>
      <c r="B101" s="1">
        <v>983201</v>
      </c>
      <c r="C101" s="1">
        <v>31</v>
      </c>
      <c r="D101" s="1" t="s">
        <v>108</v>
      </c>
      <c r="E101" s="1" t="s">
        <v>109</v>
      </c>
      <c r="F101" t="s">
        <v>17</v>
      </c>
      <c r="G101">
        <v>744</v>
      </c>
      <c r="H101" s="1">
        <v>2</v>
      </c>
      <c r="I101" s="1">
        <v>33</v>
      </c>
      <c r="J101" s="1" t="s">
        <v>1</v>
      </c>
      <c r="K101" s="4">
        <v>42207</v>
      </c>
      <c r="L101" s="4">
        <v>42258</v>
      </c>
      <c r="M101" s="1">
        <v>2</v>
      </c>
      <c r="N101" s="4">
        <v>42259</v>
      </c>
      <c r="O101" s="4">
        <v>42272</v>
      </c>
      <c r="P101" s="1" t="str">
        <f t="shared" si="9"/>
        <v>Rejected</v>
      </c>
      <c r="Q101" s="4">
        <v>42277</v>
      </c>
      <c r="R101" s="1" t="s">
        <v>1</v>
      </c>
      <c r="S101" s="1" t="s">
        <v>1</v>
      </c>
      <c r="U101" s="1" t="s">
        <v>148</v>
      </c>
      <c r="V101" s="9"/>
      <c r="W101" s="2" t="s">
        <v>163</v>
      </c>
    </row>
    <row r="102" spans="1:23" x14ac:dyDescent="0.2">
      <c r="A102" s="1">
        <v>16</v>
      </c>
      <c r="B102" s="1">
        <v>984343</v>
      </c>
      <c r="C102" s="1">
        <v>32</v>
      </c>
      <c r="D102" s="1" t="s">
        <v>106</v>
      </c>
      <c r="E102" s="1" t="s">
        <v>110</v>
      </c>
      <c r="F102" t="s">
        <v>6</v>
      </c>
      <c r="G102">
        <v>631</v>
      </c>
      <c r="H102" s="1">
        <v>9</v>
      </c>
      <c r="I102" s="1">
        <v>74</v>
      </c>
      <c r="J102" s="1">
        <v>19</v>
      </c>
      <c r="K102" s="4">
        <v>42254</v>
      </c>
      <c r="L102" s="4">
        <v>42254</v>
      </c>
      <c r="M102" s="1">
        <v>1</v>
      </c>
      <c r="N102" s="4">
        <v>42257</v>
      </c>
      <c r="O102" s="4">
        <v>42260</v>
      </c>
      <c r="P102" s="1" t="str">
        <f t="shared" si="9"/>
        <v>Accepted</v>
      </c>
      <c r="Q102" s="4">
        <v>42261</v>
      </c>
      <c r="R102" s="1" t="str">
        <f>IF(P102="Accepted",IF(J102&gt;20, "Accepted", "Rejected"), "Rejected")</f>
        <v>Rejected</v>
      </c>
      <c r="S102" s="4">
        <v>42261</v>
      </c>
      <c r="U102" s="1" t="s">
        <v>137</v>
      </c>
      <c r="V102" s="8"/>
      <c r="W102" t="s">
        <v>147</v>
      </c>
    </row>
    <row r="103" spans="1:23" x14ac:dyDescent="0.2">
      <c r="A103" s="1">
        <v>50</v>
      </c>
      <c r="B103" s="1">
        <v>985632</v>
      </c>
      <c r="C103" s="1">
        <v>57</v>
      </c>
      <c r="D103" s="1" t="s">
        <v>108</v>
      </c>
      <c r="E103" s="1" t="s">
        <v>109</v>
      </c>
      <c r="F103" t="s">
        <v>8</v>
      </c>
      <c r="G103">
        <v>722</v>
      </c>
      <c r="H103" s="1">
        <v>12</v>
      </c>
      <c r="I103" s="1">
        <v>72</v>
      </c>
      <c r="J103" s="1">
        <v>22</v>
      </c>
      <c r="K103" s="4">
        <v>42225</v>
      </c>
      <c r="L103" s="4">
        <v>42297</v>
      </c>
      <c r="M103" s="1">
        <v>4</v>
      </c>
      <c r="N103" s="4">
        <v>42300</v>
      </c>
      <c r="O103" s="4">
        <v>42301</v>
      </c>
      <c r="P103" s="1" t="str">
        <f t="shared" si="9"/>
        <v>Accepted</v>
      </c>
      <c r="Q103" s="4">
        <v>42303</v>
      </c>
      <c r="R103" s="1" t="str">
        <f>IF(P103="Accepted",IF(J103&gt;20, "Accepted", "Rejected"), "Rejected")</f>
        <v>Accepted</v>
      </c>
      <c r="S103" s="4">
        <v>42303</v>
      </c>
      <c r="U103" s="1" t="s">
        <v>164</v>
      </c>
      <c r="V103" s="9">
        <v>56500</v>
      </c>
      <c r="W103" t="s">
        <v>97</v>
      </c>
    </row>
    <row r="104" spans="1:23" x14ac:dyDescent="0.2">
      <c r="A104" s="1">
        <v>14</v>
      </c>
      <c r="B104" s="1">
        <v>989203</v>
      </c>
      <c r="C104" s="1">
        <v>45</v>
      </c>
      <c r="D104" s="1" t="s">
        <v>106</v>
      </c>
      <c r="E104" s="1" t="s">
        <v>109</v>
      </c>
      <c r="F104" t="s">
        <v>6</v>
      </c>
      <c r="G104">
        <v>498</v>
      </c>
      <c r="H104" s="1">
        <v>1</v>
      </c>
      <c r="I104" s="1">
        <v>68</v>
      </c>
      <c r="J104" s="1" t="s">
        <v>1</v>
      </c>
      <c r="K104" s="4">
        <v>42201</v>
      </c>
      <c r="L104" s="4">
        <v>42218</v>
      </c>
      <c r="M104" s="1">
        <v>2</v>
      </c>
      <c r="N104" s="4">
        <v>42219</v>
      </c>
      <c r="O104" s="4">
        <v>42222</v>
      </c>
      <c r="P104" s="1" t="str">
        <f t="shared" si="9"/>
        <v>Rejected</v>
      </c>
      <c r="Q104" s="4">
        <v>42224</v>
      </c>
      <c r="R104" s="1" t="s">
        <v>1</v>
      </c>
      <c r="S104" s="1" t="s">
        <v>1</v>
      </c>
      <c r="U104" s="1" t="s">
        <v>148</v>
      </c>
      <c r="V104" s="8"/>
      <c r="W104" t="s">
        <v>43</v>
      </c>
    </row>
  </sheetData>
  <sortState xmlns:xlrd2="http://schemas.microsoft.com/office/spreadsheetml/2017/richdata2" ref="A2:W104">
    <sortCondition ref="B2:B104"/>
  </sortState>
  <conditionalFormatting sqref="B2:B104">
    <cfRule type="duplicateValues" dxfId="1" priority="2"/>
  </conditionalFormatting>
  <conditionalFormatting sqref="B37:B69">
    <cfRule type="duplicateValues" dxfId="0" priority="3"/>
  </conditionalFormatting>
  <pageMargins left="0.7" right="0.7" top="0.75" bottom="0.75" header="0.3" footer="0.3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3"/>
  <sheetViews>
    <sheetView workbookViewId="0">
      <selection sqref="A1:B103"/>
    </sheetView>
  </sheetViews>
  <sheetFormatPr baseColWidth="10" defaultRowHeight="15" x14ac:dyDescent="0.2"/>
  <sheetData>
    <row r="1" spans="1:2" x14ac:dyDescent="0.2">
      <c r="A1" t="s">
        <v>52</v>
      </c>
      <c r="B1">
        <v>13</v>
      </c>
    </row>
    <row r="2" spans="1:2" x14ac:dyDescent="0.2">
      <c r="A2" t="s">
        <v>2</v>
      </c>
      <c r="B2">
        <v>63</v>
      </c>
    </row>
    <row r="3" spans="1:2" x14ac:dyDescent="0.2">
      <c r="A3" t="s">
        <v>39</v>
      </c>
      <c r="B3">
        <v>72</v>
      </c>
    </row>
    <row r="4" spans="1:2" x14ac:dyDescent="0.2">
      <c r="A4" t="s">
        <v>21</v>
      </c>
      <c r="B4">
        <v>100</v>
      </c>
    </row>
    <row r="5" spans="1:2" x14ac:dyDescent="0.2">
      <c r="A5" t="s">
        <v>3</v>
      </c>
      <c r="B5">
        <v>110</v>
      </c>
    </row>
    <row r="6" spans="1:2" x14ac:dyDescent="0.2">
      <c r="A6" t="s">
        <v>3</v>
      </c>
      <c r="B6">
        <v>110</v>
      </c>
    </row>
    <row r="7" spans="1:2" x14ac:dyDescent="0.2">
      <c r="A7" t="s">
        <v>3</v>
      </c>
      <c r="B7">
        <v>110</v>
      </c>
    </row>
    <row r="8" spans="1:2" x14ac:dyDescent="0.2">
      <c r="A8" t="s">
        <v>3</v>
      </c>
      <c r="B8">
        <v>110</v>
      </c>
    </row>
    <row r="9" spans="1:2" x14ac:dyDescent="0.2">
      <c r="A9" t="s">
        <v>3</v>
      </c>
      <c r="B9">
        <v>110</v>
      </c>
    </row>
    <row r="10" spans="1:2" x14ac:dyDescent="0.2">
      <c r="A10" t="s">
        <v>3</v>
      </c>
      <c r="B10">
        <v>110</v>
      </c>
    </row>
    <row r="11" spans="1:2" x14ac:dyDescent="0.2">
      <c r="A11" t="s">
        <v>5</v>
      </c>
      <c r="B11">
        <v>126</v>
      </c>
    </row>
    <row r="12" spans="1:2" x14ac:dyDescent="0.2">
      <c r="A12" t="s">
        <v>33</v>
      </c>
      <c r="B12">
        <v>138</v>
      </c>
    </row>
    <row r="13" spans="1:2" x14ac:dyDescent="0.2">
      <c r="A13" t="s">
        <v>2</v>
      </c>
      <c r="B13">
        <v>150</v>
      </c>
    </row>
    <row r="14" spans="1:2" x14ac:dyDescent="0.2">
      <c r="A14" t="s">
        <v>5</v>
      </c>
      <c r="B14">
        <v>167</v>
      </c>
    </row>
    <row r="15" spans="1:2" x14ac:dyDescent="0.2">
      <c r="A15" t="s">
        <v>12</v>
      </c>
      <c r="B15">
        <v>174</v>
      </c>
    </row>
    <row r="16" spans="1:2" x14ac:dyDescent="0.2">
      <c r="A16" t="s">
        <v>21</v>
      </c>
      <c r="B16">
        <v>181</v>
      </c>
    </row>
    <row r="17" spans="1:2" x14ac:dyDescent="0.2">
      <c r="A17" t="s">
        <v>68</v>
      </c>
      <c r="B17">
        <v>186</v>
      </c>
    </row>
    <row r="18" spans="1:2" x14ac:dyDescent="0.2">
      <c r="A18" t="s">
        <v>32</v>
      </c>
      <c r="B18">
        <v>195</v>
      </c>
    </row>
    <row r="19" spans="1:2" x14ac:dyDescent="0.2">
      <c r="A19" t="s">
        <v>3</v>
      </c>
      <c r="B19">
        <v>198</v>
      </c>
    </row>
    <row r="20" spans="1:2" x14ac:dyDescent="0.2">
      <c r="A20" t="s">
        <v>2</v>
      </c>
      <c r="B20">
        <v>199</v>
      </c>
    </row>
    <row r="21" spans="1:2" x14ac:dyDescent="0.2">
      <c r="A21" t="s">
        <v>3</v>
      </c>
      <c r="B21">
        <v>202</v>
      </c>
    </row>
    <row r="22" spans="1:2" x14ac:dyDescent="0.2">
      <c r="A22" t="s">
        <v>10</v>
      </c>
      <c r="B22">
        <v>214</v>
      </c>
    </row>
    <row r="23" spans="1:2" x14ac:dyDescent="0.2">
      <c r="A23" t="s">
        <v>10</v>
      </c>
      <c r="B23">
        <v>214</v>
      </c>
    </row>
    <row r="24" spans="1:2" x14ac:dyDescent="0.2">
      <c r="A24" t="s">
        <v>6</v>
      </c>
      <c r="B24">
        <v>233</v>
      </c>
    </row>
    <row r="25" spans="1:2" x14ac:dyDescent="0.2">
      <c r="A25" t="s">
        <v>52</v>
      </c>
      <c r="B25">
        <v>234</v>
      </c>
    </row>
    <row r="26" spans="1:2" x14ac:dyDescent="0.2">
      <c r="A26" t="s">
        <v>2</v>
      </c>
      <c r="B26">
        <v>243</v>
      </c>
    </row>
    <row r="27" spans="1:2" x14ac:dyDescent="0.2">
      <c r="A27" t="s">
        <v>2</v>
      </c>
      <c r="B27">
        <v>243</v>
      </c>
    </row>
    <row r="28" spans="1:2" x14ac:dyDescent="0.2">
      <c r="A28" t="s">
        <v>2</v>
      </c>
      <c r="B28">
        <v>256</v>
      </c>
    </row>
    <row r="29" spans="1:2" x14ac:dyDescent="0.2">
      <c r="A29" t="s">
        <v>2</v>
      </c>
      <c r="B29">
        <v>256</v>
      </c>
    </row>
    <row r="30" spans="1:2" x14ac:dyDescent="0.2">
      <c r="A30" t="s">
        <v>12</v>
      </c>
      <c r="B30">
        <v>260</v>
      </c>
    </row>
    <row r="31" spans="1:2" x14ac:dyDescent="0.2">
      <c r="A31" t="s">
        <v>6</v>
      </c>
      <c r="B31">
        <v>261</v>
      </c>
    </row>
    <row r="32" spans="1:2" x14ac:dyDescent="0.2">
      <c r="A32" t="s">
        <v>14</v>
      </c>
      <c r="B32">
        <v>263</v>
      </c>
    </row>
    <row r="33" spans="1:2" x14ac:dyDescent="0.2">
      <c r="A33" t="s">
        <v>2</v>
      </c>
      <c r="B33">
        <v>274</v>
      </c>
    </row>
    <row r="34" spans="1:2" x14ac:dyDescent="0.2">
      <c r="A34" t="s">
        <v>13</v>
      </c>
      <c r="B34">
        <v>275</v>
      </c>
    </row>
    <row r="35" spans="1:2" x14ac:dyDescent="0.2">
      <c r="A35" t="s">
        <v>5</v>
      </c>
      <c r="B35">
        <v>283</v>
      </c>
    </row>
    <row r="36" spans="1:2" x14ac:dyDescent="0.2">
      <c r="A36" t="s">
        <v>61</v>
      </c>
      <c r="B36">
        <v>292</v>
      </c>
    </row>
    <row r="37" spans="1:2" x14ac:dyDescent="0.2">
      <c r="A37" t="s">
        <v>6</v>
      </c>
      <c r="B37">
        <v>302</v>
      </c>
    </row>
    <row r="38" spans="1:2" x14ac:dyDescent="0.2">
      <c r="A38" t="s">
        <v>12</v>
      </c>
      <c r="B38">
        <v>310</v>
      </c>
    </row>
    <row r="39" spans="1:2" x14ac:dyDescent="0.2">
      <c r="A39" t="s">
        <v>35</v>
      </c>
      <c r="B39">
        <v>314</v>
      </c>
    </row>
    <row r="40" spans="1:2" x14ac:dyDescent="0.2">
      <c r="A40" t="s">
        <v>22</v>
      </c>
      <c r="B40">
        <v>322</v>
      </c>
    </row>
    <row r="41" spans="1:2" x14ac:dyDescent="0.2">
      <c r="A41" t="s">
        <v>6</v>
      </c>
      <c r="B41">
        <v>331</v>
      </c>
    </row>
    <row r="42" spans="1:2" x14ac:dyDescent="0.2">
      <c r="A42" t="s">
        <v>42</v>
      </c>
      <c r="B42">
        <v>352</v>
      </c>
    </row>
    <row r="43" spans="1:2" x14ac:dyDescent="0.2">
      <c r="A43" t="s">
        <v>14</v>
      </c>
      <c r="B43">
        <v>354</v>
      </c>
    </row>
    <row r="44" spans="1:2" x14ac:dyDescent="0.2">
      <c r="A44" t="s">
        <v>14</v>
      </c>
      <c r="B44">
        <v>354</v>
      </c>
    </row>
    <row r="45" spans="1:2" x14ac:dyDescent="0.2">
      <c r="A45" t="s">
        <v>12</v>
      </c>
      <c r="B45">
        <v>356</v>
      </c>
    </row>
    <row r="46" spans="1:2" x14ac:dyDescent="0.2">
      <c r="A46" t="s">
        <v>3</v>
      </c>
      <c r="B46">
        <v>357</v>
      </c>
    </row>
    <row r="47" spans="1:2" x14ac:dyDescent="0.2">
      <c r="A47" t="s">
        <v>33</v>
      </c>
      <c r="B47">
        <v>359</v>
      </c>
    </row>
    <row r="48" spans="1:2" x14ac:dyDescent="0.2">
      <c r="A48" t="s">
        <v>17</v>
      </c>
      <c r="B48">
        <v>360</v>
      </c>
    </row>
    <row r="49" spans="1:2" x14ac:dyDescent="0.2">
      <c r="A49" t="s">
        <v>13</v>
      </c>
      <c r="B49">
        <v>364</v>
      </c>
    </row>
    <row r="50" spans="1:2" x14ac:dyDescent="0.2">
      <c r="A50" t="s">
        <v>6</v>
      </c>
      <c r="B50">
        <v>366</v>
      </c>
    </row>
    <row r="51" spans="1:2" x14ac:dyDescent="0.2">
      <c r="A51" t="s">
        <v>3</v>
      </c>
      <c r="B51">
        <v>376</v>
      </c>
    </row>
    <row r="52" spans="1:2" x14ac:dyDescent="0.2">
      <c r="A52" t="s">
        <v>50</v>
      </c>
      <c r="B52">
        <v>393</v>
      </c>
    </row>
    <row r="53" spans="1:2" x14ac:dyDescent="0.2">
      <c r="A53" t="s">
        <v>51</v>
      </c>
      <c r="B53">
        <v>394</v>
      </c>
    </row>
    <row r="54" spans="1:2" x14ac:dyDescent="0.2">
      <c r="A54" t="s">
        <v>6</v>
      </c>
      <c r="B54">
        <v>413</v>
      </c>
    </row>
    <row r="55" spans="1:2" x14ac:dyDescent="0.2">
      <c r="A55" t="s">
        <v>6</v>
      </c>
      <c r="B55">
        <v>413</v>
      </c>
    </row>
    <row r="56" spans="1:2" x14ac:dyDescent="0.2">
      <c r="A56" t="s">
        <v>12</v>
      </c>
      <c r="B56">
        <v>416</v>
      </c>
    </row>
    <row r="57" spans="1:2" x14ac:dyDescent="0.2">
      <c r="A57" t="s">
        <v>21</v>
      </c>
      <c r="B57">
        <v>438</v>
      </c>
    </row>
    <row r="58" spans="1:2" x14ac:dyDescent="0.2">
      <c r="A58" t="s">
        <v>13</v>
      </c>
      <c r="B58">
        <v>440</v>
      </c>
    </row>
    <row r="59" spans="1:2" x14ac:dyDescent="0.2">
      <c r="A59" t="s">
        <v>13</v>
      </c>
      <c r="B59">
        <v>440</v>
      </c>
    </row>
    <row r="60" spans="1:2" x14ac:dyDescent="0.2">
      <c r="A60" t="s">
        <v>12</v>
      </c>
      <c r="B60">
        <v>446</v>
      </c>
    </row>
    <row r="61" spans="1:2" x14ac:dyDescent="0.2">
      <c r="A61" t="s">
        <v>5</v>
      </c>
      <c r="B61">
        <v>453</v>
      </c>
    </row>
    <row r="62" spans="1:2" x14ac:dyDescent="0.2">
      <c r="A62" t="s">
        <v>22</v>
      </c>
      <c r="B62">
        <v>455</v>
      </c>
    </row>
    <row r="63" spans="1:2" x14ac:dyDescent="0.2">
      <c r="A63" t="s">
        <v>42</v>
      </c>
      <c r="B63">
        <v>467</v>
      </c>
    </row>
    <row r="64" spans="1:2" x14ac:dyDescent="0.2">
      <c r="A64" t="s">
        <v>42</v>
      </c>
      <c r="B64">
        <v>467</v>
      </c>
    </row>
    <row r="65" spans="1:2" x14ac:dyDescent="0.2">
      <c r="A65" t="s">
        <v>9</v>
      </c>
      <c r="B65">
        <v>477</v>
      </c>
    </row>
    <row r="66" spans="1:2" x14ac:dyDescent="0.2">
      <c r="A66" t="s">
        <v>9</v>
      </c>
      <c r="B66">
        <v>477</v>
      </c>
    </row>
    <row r="67" spans="1:2" x14ac:dyDescent="0.2">
      <c r="A67" t="s">
        <v>24</v>
      </c>
      <c r="B67">
        <v>479</v>
      </c>
    </row>
    <row r="68" spans="1:2" x14ac:dyDescent="0.2">
      <c r="A68" t="s">
        <v>45</v>
      </c>
      <c r="B68">
        <v>491</v>
      </c>
    </row>
    <row r="69" spans="1:2" x14ac:dyDescent="0.2">
      <c r="A69" t="s">
        <v>6</v>
      </c>
      <c r="B69">
        <v>498</v>
      </c>
    </row>
    <row r="70" spans="1:2" x14ac:dyDescent="0.2">
      <c r="A70" t="s">
        <v>6</v>
      </c>
      <c r="B70">
        <v>506</v>
      </c>
    </row>
    <row r="71" spans="1:2" x14ac:dyDescent="0.2">
      <c r="A71" t="s">
        <v>35</v>
      </c>
      <c r="B71">
        <v>564</v>
      </c>
    </row>
    <row r="72" spans="1:2" x14ac:dyDescent="0.2">
      <c r="A72" t="s">
        <v>0</v>
      </c>
      <c r="B72">
        <v>572</v>
      </c>
    </row>
    <row r="73" spans="1:2" x14ac:dyDescent="0.2">
      <c r="A73" t="s">
        <v>9</v>
      </c>
      <c r="B73">
        <v>585</v>
      </c>
    </row>
    <row r="74" spans="1:2" x14ac:dyDescent="0.2">
      <c r="A74" t="s">
        <v>33</v>
      </c>
      <c r="B74">
        <v>587</v>
      </c>
    </row>
    <row r="75" spans="1:2" x14ac:dyDescent="0.2">
      <c r="A75" t="s">
        <v>68</v>
      </c>
      <c r="B75">
        <v>590</v>
      </c>
    </row>
    <row r="76" spans="1:2" x14ac:dyDescent="0.2">
      <c r="A76" t="s">
        <v>51</v>
      </c>
      <c r="B76">
        <v>624</v>
      </c>
    </row>
    <row r="77" spans="1:2" x14ac:dyDescent="0.2">
      <c r="A77" t="s">
        <v>6</v>
      </c>
      <c r="B77">
        <v>631</v>
      </c>
    </row>
    <row r="78" spans="1:2" x14ac:dyDescent="0.2">
      <c r="A78" t="s">
        <v>6</v>
      </c>
      <c r="B78">
        <v>631</v>
      </c>
    </row>
    <row r="79" spans="1:2" x14ac:dyDescent="0.2">
      <c r="A79" t="s">
        <v>7</v>
      </c>
      <c r="B79">
        <v>633</v>
      </c>
    </row>
    <row r="80" spans="1:2" x14ac:dyDescent="0.2">
      <c r="A80" t="s">
        <v>3</v>
      </c>
      <c r="B80">
        <v>634</v>
      </c>
    </row>
    <row r="81" spans="1:2" x14ac:dyDescent="0.2">
      <c r="A81" t="s">
        <v>3</v>
      </c>
      <c r="B81">
        <v>635</v>
      </c>
    </row>
    <row r="82" spans="1:2" x14ac:dyDescent="0.2">
      <c r="A82" t="s">
        <v>2</v>
      </c>
      <c r="B82">
        <v>666</v>
      </c>
    </row>
    <row r="83" spans="1:2" x14ac:dyDescent="0.2">
      <c r="A83" t="s">
        <v>32</v>
      </c>
      <c r="B83">
        <v>669</v>
      </c>
    </row>
    <row r="84" spans="1:2" x14ac:dyDescent="0.2">
      <c r="A84" t="s">
        <v>28</v>
      </c>
      <c r="B84">
        <v>670</v>
      </c>
    </row>
    <row r="85" spans="1:2" x14ac:dyDescent="0.2">
      <c r="A85" t="s">
        <v>6</v>
      </c>
      <c r="B85">
        <v>676</v>
      </c>
    </row>
    <row r="86" spans="1:2" x14ac:dyDescent="0.2">
      <c r="A86" t="s">
        <v>6</v>
      </c>
      <c r="B86">
        <v>676</v>
      </c>
    </row>
    <row r="87" spans="1:2" x14ac:dyDescent="0.2">
      <c r="A87" t="s">
        <v>6</v>
      </c>
      <c r="B87">
        <v>676</v>
      </c>
    </row>
    <row r="88" spans="1:2" x14ac:dyDescent="0.2">
      <c r="A88" t="s">
        <v>6</v>
      </c>
      <c r="B88">
        <v>676</v>
      </c>
    </row>
    <row r="89" spans="1:2" x14ac:dyDescent="0.2">
      <c r="A89" t="s">
        <v>6</v>
      </c>
      <c r="B89">
        <v>676</v>
      </c>
    </row>
    <row r="90" spans="1:2" x14ac:dyDescent="0.2">
      <c r="A90" t="s">
        <v>6</v>
      </c>
      <c r="B90">
        <v>676</v>
      </c>
    </row>
    <row r="91" spans="1:2" x14ac:dyDescent="0.2">
      <c r="A91" t="s">
        <v>3</v>
      </c>
      <c r="B91">
        <v>681</v>
      </c>
    </row>
    <row r="92" spans="1:2" x14ac:dyDescent="0.2">
      <c r="A92" t="s">
        <v>10</v>
      </c>
      <c r="B92">
        <v>687</v>
      </c>
    </row>
    <row r="93" spans="1:2" x14ac:dyDescent="0.2">
      <c r="A93" t="s">
        <v>10</v>
      </c>
      <c r="B93">
        <v>687</v>
      </c>
    </row>
    <row r="94" spans="1:2" x14ac:dyDescent="0.2">
      <c r="A94" t="s">
        <v>3</v>
      </c>
      <c r="B94">
        <v>692</v>
      </c>
    </row>
    <row r="95" spans="1:2" x14ac:dyDescent="0.2">
      <c r="A95" t="s">
        <v>5</v>
      </c>
      <c r="B95">
        <v>693</v>
      </c>
    </row>
    <row r="96" spans="1:2" x14ac:dyDescent="0.2">
      <c r="A96" t="s">
        <v>19</v>
      </c>
      <c r="B96">
        <v>700</v>
      </c>
    </row>
    <row r="97" spans="1:2" x14ac:dyDescent="0.2">
      <c r="A97" t="s">
        <v>35</v>
      </c>
      <c r="B97">
        <v>701</v>
      </c>
    </row>
    <row r="98" spans="1:2" x14ac:dyDescent="0.2">
      <c r="A98" t="s">
        <v>14</v>
      </c>
      <c r="B98">
        <v>719</v>
      </c>
    </row>
    <row r="99" spans="1:2" x14ac:dyDescent="0.2">
      <c r="A99" t="s">
        <v>8</v>
      </c>
      <c r="B99">
        <v>722</v>
      </c>
    </row>
    <row r="100" spans="1:2" x14ac:dyDescent="0.2">
      <c r="A100" t="s">
        <v>5</v>
      </c>
      <c r="B100">
        <v>728</v>
      </c>
    </row>
    <row r="101" spans="1:2" x14ac:dyDescent="0.2">
      <c r="A101" t="s">
        <v>51</v>
      </c>
      <c r="B101">
        <v>734</v>
      </c>
    </row>
    <row r="102" spans="1:2" x14ac:dyDescent="0.2">
      <c r="A102" t="s">
        <v>17</v>
      </c>
      <c r="B102">
        <v>744</v>
      </c>
    </row>
    <row r="103" spans="1:2" x14ac:dyDescent="0.2">
      <c r="A103" t="s">
        <v>3</v>
      </c>
      <c r="B103">
        <v>763</v>
      </c>
    </row>
  </sheetData>
  <sortState xmlns:xlrd2="http://schemas.microsoft.com/office/spreadsheetml/2017/richdata2" ref="A1:B103">
    <sortCondition ref="B1:B103"/>
  </sortState>
  <pageMargins left="0.7" right="0.7" top="0.75" bottom="0.75" header="0.3" footer="0.3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MAQUINA 6</dc:creator>
  <cp:lastModifiedBy>Rodrigo Garza Burgos</cp:lastModifiedBy>
  <dcterms:created xsi:type="dcterms:W3CDTF">2015-11-17T04:03:40Z</dcterms:created>
  <dcterms:modified xsi:type="dcterms:W3CDTF">2026-10-15T18:14:57Z</dcterms:modified>
</cp:coreProperties>
</file>