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  <sheet name="Resumen Pareto" sheetId="2" r:id="rId2"/>
    <sheet name="Leyen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 rightToLeft="0"/>
  </sheetViews>
  <cols>
    <col min="1" max="1" customWidth="1" width="8"/>
    <col min="2" max="2" customWidth="1" width="11"/>
    <col min="3" max="3" customWidth="1" width="14"/>
    <col min="4" max="4" customWidth="1" width="11"/>
    <col min="5" max="5" customWidth="1" width="9"/>
    <col min="6" max="6" customWidth="1" width="20"/>
    <col min="7" max="7" customWidth="1" width="15"/>
    <col min="8" max="8" customWidth="1" width="20"/>
    <col min="9" max="9" customWidth="1" width="20"/>
    <col min="10" max="10" customWidth="1" width="80"/>
    <col min="11" max="11" customWidth="1" width="70"/>
  </cols>
  <sheetData>
    <row r="1">
      <c r="A1" t="str">
        <v>Verbalizaciones sinteticas de clientes  |  Caso ETF Bank (P 16 C 03)  |  Base R2</v>
      </c>
    </row>
    <row r="2">
      <c r="A2" t="str">
        <v>Cada comentario esta anclado a un registro real de la hoja MX CAMPUS del archivo R2_MX_ETF_Bank_Causal_Analysis_MBA.xlsx. La columna Evidencia no debe entregarse a los participantes.</v>
      </c>
    </row>
    <row r="4">
      <c r="A4" t="str">
        <v>ID</v>
      </c>
      <c r="B4" t="str">
        <v>Solicitud #</v>
      </c>
      <c r="C4" t="str">
        <v>Estado</v>
      </c>
      <c r="D4" t="str">
        <v>Sucursal #</v>
      </c>
      <c r="E4" t="str">
        <v>Intentos</v>
      </c>
      <c r="F4" t="str">
        <v>Canal de captacion</v>
      </c>
      <c r="G4" t="str">
        <v>Fecha del comentario</v>
      </c>
      <c r="H4" t="str">
        <v>Categoria primaria</v>
      </c>
      <c r="I4" t="str">
        <v>Categoria secundaria</v>
      </c>
      <c r="J4" t="str">
        <v>Comentario del cliente</v>
      </c>
      <c r="K4" t="str">
        <v>Evidencia en la base R2</v>
      </c>
    </row>
    <row r="5">
      <c r="A5" t="str">
        <v>C-001</v>
      </c>
      <c r="B5">
        <v>1040</v>
      </c>
      <c r="C5" t="str">
        <v>D.F.</v>
      </c>
      <c r="D5">
        <v>413</v>
      </c>
      <c r="E5">
        <v>3</v>
      </c>
      <c r="F5" t="str">
        <v>Redes sociales</v>
      </c>
      <c r="G5" t="str">
        <v>2015-06-07</v>
      </c>
      <c r="H5" t="str">
        <v>Reproceso documental</v>
      </c>
      <c r="I5" t="str">
        <v>Tiempo de ciclo</v>
      </c>
      <c r="J5" t="str">
        <v>Entregué todo lo que me pidieron y aun así hubo 3 rondas de correcciones antes de que mi solicitud avanzara. Es desgastante.</v>
      </c>
      <c r="K5" t="str">
        <v>3 intentos. Errores: 1 captura, 1 incompletos, 0 ilegibles. Ventana de captura 64 dias. Estatus: Card Sent. Sucursal 413.</v>
      </c>
    </row>
    <row r="6">
      <c r="A6" t="str">
        <v>C-002</v>
      </c>
      <c r="B6">
        <v>555</v>
      </c>
      <c r="C6" t="str">
        <v>Edo Mex</v>
      </c>
      <c r="D6">
        <v>243</v>
      </c>
      <c r="E6">
        <v>3</v>
      </c>
      <c r="F6" t="str">
        <v>Queja escrita</v>
      </c>
      <c r="G6" t="str">
        <v>2014-06-21</v>
      </c>
      <c r="H6" t="str">
        <v>Reproceso documental</v>
      </c>
      <c r="I6" t="str">
        <v/>
      </c>
      <c r="J6" t="str">
        <v>Después de 3 intentos ya perdí la cuenta de cuántas copias de mi identificación he entregado.</v>
      </c>
      <c r="K6" t="str">
        <v>3 intentos. Errores: 0 captura, 2 incompletos, 0 ilegibles. Ventana de captura 30 dias. Estatus: Bureau Rejected. Sucursal 243.</v>
      </c>
    </row>
    <row r="7">
      <c r="A7" t="str">
        <v>C-003</v>
      </c>
      <c r="B7">
        <v>1346</v>
      </c>
      <c r="C7" t="str">
        <v>Jalisco</v>
      </c>
      <c r="D7">
        <v>453</v>
      </c>
      <c r="E7">
        <v>4</v>
      </c>
      <c r="F7" t="str">
        <v>Llamada a call center</v>
      </c>
      <c r="G7" t="str">
        <v>2015-06-13</v>
      </c>
      <c r="H7" t="str">
        <v>Reproceso documental</v>
      </c>
      <c r="I7" t="str">
        <v>Tiempo de ciclo</v>
      </c>
      <c r="J7" t="str">
        <v>Pedí la tarjeta el 5 de abril. Solo la captura en sucursal tomó 53 días entre correcciones y un documento que no se podía leer.</v>
      </c>
      <c r="K7" t="str">
        <v>4 intentos. Errores: 2 captura, 0 incompletos, 1 ilegibles. Ventana de captura 53 dias. Estatus: Card Sent. Sucursal 453.</v>
      </c>
    </row>
    <row r="8">
      <c r="A8" t="str">
        <v>C-004</v>
      </c>
      <c r="B8">
        <v>434</v>
      </c>
      <c r="C8" t="str">
        <v>Edo Mex</v>
      </c>
      <c r="D8">
        <v>110</v>
      </c>
      <c r="E8">
        <v>3</v>
      </c>
      <c r="F8" t="str">
        <v>Redes sociales</v>
      </c>
      <c r="G8" t="str">
        <v>2014-09-27</v>
      </c>
      <c r="H8" t="str">
        <v>Reproceso documental</v>
      </c>
      <c r="I8" t="str">
        <v/>
      </c>
      <c r="J8" t="str">
        <v>Primero capturaron mal mis datos y luego me dijeron que mi comprobante no se leía. Fueron 3 intentos en la sucursal 110.</v>
      </c>
      <c r="K8" t="str">
        <v>3 intentos. Errores: 1 captura, 0 incompletos, 1 ilegibles. Ventana de captura 34 dias. Estatus: Bureau Rejected. Sucursal 110.</v>
      </c>
    </row>
    <row r="9">
      <c r="A9" t="str">
        <v>C-005</v>
      </c>
      <c r="B9">
        <v>1422</v>
      </c>
      <c r="C9" t="str">
        <v>Edo Mex</v>
      </c>
      <c r="D9">
        <v>214</v>
      </c>
      <c r="E9">
        <v>4</v>
      </c>
      <c r="F9" t="str">
        <v>Redes sociales</v>
      </c>
      <c r="G9" t="str">
        <v>2015-07-21</v>
      </c>
      <c r="H9" t="str">
        <v>Reproceso documental</v>
      </c>
      <c r="I9" t="str">
        <v>Tiempo de ciclo</v>
      </c>
      <c r="J9" t="str">
        <v>No hay una lista clara de requisitos. Cada ejecutivo pide algo distinto y uno paga el tiempo.</v>
      </c>
      <c r="K9" t="str">
        <v>4 intentos. Errores: 0 captura, 2 incompletos, 1 ilegibles. Ventana de captura 81 dias. Estatus: Score Rejected. Sucursal 214.</v>
      </c>
    </row>
    <row r="10">
      <c r="A10" t="str">
        <v>C-006</v>
      </c>
      <c r="B10">
        <v>1128</v>
      </c>
      <c r="C10" t="str">
        <v>Edo Mex</v>
      </c>
      <c r="D10">
        <v>110</v>
      </c>
      <c r="E10">
        <v>4</v>
      </c>
      <c r="F10" t="str">
        <v>Encuesta post-venta</v>
      </c>
      <c r="G10" t="str">
        <v>2014-10-12</v>
      </c>
      <c r="H10" t="str">
        <v>Reproceso documental</v>
      </c>
      <c r="I10" t="str">
        <v>Tiempo de ciclo</v>
      </c>
      <c r="J10" t="str">
        <v>El ejecutivo me dijo que ya estaba completo y a la semana me volvieron a llamar por lo mismo. Van 4 intentos.</v>
      </c>
      <c r="K10" t="str">
        <v>4 intentos. Errores: 2 captura, 1 incompletos, 0 ilegibles. Ventana de captura 113 dias. Estatus: Score Accepted. Sucursal 110.</v>
      </c>
    </row>
    <row r="11">
      <c r="A11" t="str">
        <v>C-007</v>
      </c>
      <c r="B11">
        <v>866</v>
      </c>
      <c r="C11" t="str">
        <v>Sinaloa</v>
      </c>
      <c r="D11">
        <v>440</v>
      </c>
      <c r="E11">
        <v>3</v>
      </c>
      <c r="F11" t="str">
        <v>Redes sociales</v>
      </c>
      <c r="G11" t="str">
        <v>2015-03-16</v>
      </c>
      <c r="H11" t="str">
        <v>Reproceso documental</v>
      </c>
      <c r="I11" t="str">
        <v>Tiempo de ciclo</v>
      </c>
      <c r="J11" t="str">
        <v>Me llamaron otra vez para corregir un dato y de paso pedirme un papel que faltaba. Fueron 3 intentos y 63 días solo de captura.</v>
      </c>
      <c r="K11" t="str">
        <v>3 intentos. Errores: 1 captura, 1 incompletos, 0 ilegibles. Ventana de captura 63 dias. Estatus: Authorized. Sucursal 440.</v>
      </c>
    </row>
    <row r="12">
      <c r="A12" t="str">
        <v>C-008</v>
      </c>
      <c r="B12">
        <v>686</v>
      </c>
      <c r="C12" t="str">
        <v>Jalisco</v>
      </c>
      <c r="D12">
        <v>728</v>
      </c>
      <c r="E12">
        <v>3</v>
      </c>
      <c r="F12" t="str">
        <v>Redes sociales</v>
      </c>
      <c r="G12" t="str">
        <v>2014-10-01</v>
      </c>
      <c r="H12" t="str">
        <v>Reproceso documental</v>
      </c>
      <c r="I12" t="str">
        <v>Tiempo de ciclo</v>
      </c>
      <c r="J12" t="str">
        <v>Me regresaron el expediente porque faltaba un documento y después porque un dato estaba mal escrito. 39 días para algo que debió ser un trámite de una tarde.</v>
      </c>
      <c r="K12" t="str">
        <v>3 intentos. Errores: 1 captura, 1 incompletos, 0 ilegibles. Ventana de captura 39 dias. Estatus: Card Sent. Sucursal 728.</v>
      </c>
    </row>
    <row r="13">
      <c r="A13" t="str">
        <v>C-009</v>
      </c>
      <c r="B13">
        <v>84</v>
      </c>
      <c r="C13" t="str">
        <v>D.F.</v>
      </c>
      <c r="D13">
        <v>676</v>
      </c>
      <c r="E13">
        <v>3</v>
      </c>
      <c r="F13" t="str">
        <v>Queja escrita</v>
      </c>
      <c r="G13" t="str">
        <v>2015-11-25</v>
      </c>
      <c r="H13" t="str">
        <v>Reproceso documental</v>
      </c>
      <c r="I13" t="str">
        <v>Tiempo de ciclo</v>
      </c>
      <c r="J13" t="str">
        <v>Me devolvieron el expediente dos veces por documentos incompletos. Ojalá me hubieran dado la lista completa desde el principio.</v>
      </c>
      <c r="K13" t="str">
        <v>3 intentos. Errores: 0 captura, 2 incompletos, 0 ilegibles. Ventana de captura 68 dias. Estatus: Score Accepted. Sucursal 676.</v>
      </c>
    </row>
    <row r="14">
      <c r="A14" t="str">
        <v>C-010</v>
      </c>
      <c r="B14">
        <v>1165</v>
      </c>
      <c r="C14" t="str">
        <v>Veracruz</v>
      </c>
      <c r="D14">
        <v>446</v>
      </c>
      <c r="E14">
        <v>3</v>
      </c>
      <c r="F14" t="str">
        <v>Encuesta post-venta</v>
      </c>
      <c r="G14" t="str">
        <v>2014-07-03</v>
      </c>
      <c r="H14" t="str">
        <v>Reproceso documental</v>
      </c>
      <c r="I14" t="str">
        <v/>
      </c>
      <c r="J14" t="str">
        <v>Tuve que volver a la sucursal por un papel que nadie me pidió la primera vez. Fueron 3 intentos en apenas 12 días, pero cada vuelta me costó una mañana.</v>
      </c>
      <c r="K14" t="str">
        <v>3 intentos. Errores: 0 captura, 1 incompletos, 0 ilegibles. Ventana de captura 12 dias. Estatus: Card Sent. Sucursal 446.</v>
      </c>
    </row>
    <row r="15">
      <c r="A15" t="str">
        <v>C-011</v>
      </c>
      <c r="B15">
        <v>540</v>
      </c>
      <c r="C15" t="str">
        <v>Edo Mex</v>
      </c>
      <c r="D15">
        <v>110</v>
      </c>
      <c r="E15">
        <v>3</v>
      </c>
      <c r="F15" t="str">
        <v>Queja escrita</v>
      </c>
      <c r="G15" t="str">
        <v>2015-01-01</v>
      </c>
      <c r="H15" t="str">
        <v>Reproceso documental</v>
      </c>
      <c r="I15" t="str">
        <v/>
      </c>
      <c r="J15" t="str">
        <v>Ya me llegó la tarjeta, pero antes me devolvieron el expediente dos veces por documentos incompletos en la sucursal 110.</v>
      </c>
      <c r="K15" t="str">
        <v>3 intentos. Errores: 0 captura, 2 incompletos, 0 ilegibles. Ventana de captura 22 dias. Estatus: Card Sent. Sucursal 110.</v>
      </c>
    </row>
    <row r="16">
      <c r="A16" t="str">
        <v>C-012</v>
      </c>
      <c r="B16">
        <v>417</v>
      </c>
      <c r="C16" t="str">
        <v>Jalisco</v>
      </c>
      <c r="D16">
        <v>728</v>
      </c>
      <c r="E16">
        <v>3</v>
      </c>
      <c r="F16" t="str">
        <v>Queja escrita</v>
      </c>
      <c r="G16" t="str">
        <v>2014-12-17</v>
      </c>
      <c r="H16" t="str">
        <v>Reproceso documental</v>
      </c>
      <c r="I16" t="str">
        <v/>
      </c>
      <c r="J16" t="str">
        <v>Me hicieron volver 3 veces por documentos. Trabajo y cada visita me cuesta medio día.</v>
      </c>
      <c r="K16" t="str">
        <v>3 intentos. Errores: 1 captura, 1 incompletos, 0 ilegibles. Ventana de captura 2 dias. Estatus: Bureau Rejected. Sucursal 728.</v>
      </c>
    </row>
    <row r="17">
      <c r="A17" t="str">
        <v>C-013</v>
      </c>
      <c r="B17">
        <v>655</v>
      </c>
      <c r="C17" t="str">
        <v>Edo Mex</v>
      </c>
      <c r="D17">
        <v>110</v>
      </c>
      <c r="E17">
        <v>4</v>
      </c>
      <c r="F17" t="str">
        <v>Encuesta post-venta</v>
      </c>
      <c r="G17" t="str">
        <v>2015-10-03</v>
      </c>
      <c r="H17" t="str">
        <v>Reproceso documental</v>
      </c>
      <c r="I17" t="str">
        <v>Tiempo de ciclo</v>
      </c>
      <c r="J17" t="str">
        <v>Dos errores de captura y un papel faltante. Van 4 intentos y nadie en la sucursal 110 revisa el expediente completo antes de enviarlo.</v>
      </c>
      <c r="K17" t="str">
        <v>4 intentos. Errores: 2 captura, 1 incompletos, 0 ilegibles. Ventana de captura 71 dias. Estatus: Score Accepted. Sucursal 110.</v>
      </c>
    </row>
    <row r="18">
      <c r="A18" t="str">
        <v>C-014</v>
      </c>
      <c r="B18">
        <v>696</v>
      </c>
      <c r="C18" t="str">
        <v>D.F.</v>
      </c>
      <c r="D18">
        <v>413</v>
      </c>
      <c r="E18">
        <v>3</v>
      </c>
      <c r="F18" t="str">
        <v>Queja escrita</v>
      </c>
      <c r="G18" t="str">
        <v>2014-09-11</v>
      </c>
      <c r="H18" t="str">
        <v>Reproceso documental</v>
      </c>
      <c r="I18" t="str">
        <v>Tiempo de ciclo</v>
      </c>
      <c r="J18" t="str">
        <v>3 veces me han pedido papeles. Empecé el 14 de julio y seguimos igual. Nadie me dice todo lo que falta de una sola vez.</v>
      </c>
      <c r="K18" t="str">
        <v>3 intentos. Errores: 0 captura, 2 incompletos, 0 ilegibles. Ventana de captura 55 dias. Estatus: Bureau Rejected. Sucursal 413.</v>
      </c>
    </row>
    <row r="19">
      <c r="A19" t="str">
        <v>C-015</v>
      </c>
      <c r="B19">
        <v>804</v>
      </c>
      <c r="C19" t="str">
        <v>Edo Mex</v>
      </c>
      <c r="D19">
        <v>692</v>
      </c>
      <c r="E19">
        <v>4</v>
      </c>
      <c r="F19" t="str">
        <v>Redes sociales</v>
      </c>
      <c r="G19" t="str">
        <v>2015-04-30</v>
      </c>
      <c r="H19" t="str">
        <v>Reproceso documental</v>
      </c>
      <c r="I19" t="str">
        <v>Tiempo de ciclo</v>
      </c>
      <c r="J19" t="str">
        <v>Me devolvieron el expediente dos veces por documentos incompletos y una vez por un error de captura. Si faltaba algo, que me lo digan desde el principio.</v>
      </c>
      <c r="K19" t="str">
        <v>4 intentos. Errores: 1 captura, 2 incompletos, 0 ilegibles. Ventana de captura 80 dias. Estatus: Authorized. Sucursal 692.</v>
      </c>
    </row>
    <row r="20">
      <c r="A20" t="str">
        <v>C-016</v>
      </c>
      <c r="B20">
        <v>220</v>
      </c>
      <c r="C20" t="str">
        <v>Edo Mex</v>
      </c>
      <c r="D20">
        <v>692</v>
      </c>
      <c r="E20">
        <v>3</v>
      </c>
      <c r="F20" t="str">
        <v>Llamada a call center</v>
      </c>
      <c r="G20" t="str">
        <v>2014-10-28</v>
      </c>
      <c r="H20" t="str">
        <v>Reproceso documental</v>
      </c>
      <c r="I20" t="str">
        <v/>
      </c>
      <c r="J20" t="str">
        <v>Primero faltó un documento y después dijeron que otro no se leía bien. Fueron 3 intentos para que al final no procediera.</v>
      </c>
      <c r="K20" t="str">
        <v>3 intentos. Errores: 0 captura, 1 incompletos, 1 ilegibles. Ventana de captura 34 dias. Estatus: Bureau Rejected. Sucursal 692.</v>
      </c>
    </row>
    <row r="21">
      <c r="A21" t="str">
        <v>C-017</v>
      </c>
      <c r="B21">
        <v>556</v>
      </c>
      <c r="C21" t="str">
        <v>D.F.</v>
      </c>
      <c r="D21">
        <v>676</v>
      </c>
      <c r="E21">
        <v>3</v>
      </c>
      <c r="F21" t="str">
        <v>Redes sociales</v>
      </c>
      <c r="G21" t="str">
        <v>2015-05-08</v>
      </c>
      <c r="H21" t="str">
        <v>Reproceso documental</v>
      </c>
      <c r="I21" t="str">
        <v>Tiempo de ciclo</v>
      </c>
      <c r="J21" t="str">
        <v>Pedí la tarjeta el 19 de marzo. Entre correcciones y papeles faltantes la captura tomó 37 días.</v>
      </c>
      <c r="K21" t="str">
        <v>3 intentos. Errores: 1 captura, 1 incompletos, 0 ilegibles. Ventana de captura 37 dias. Estatus: Bureau Rejected. Sucursal 676.</v>
      </c>
    </row>
    <row r="22">
      <c r="A22" t="str">
        <v>C-018</v>
      </c>
      <c r="B22">
        <v>562</v>
      </c>
      <c r="C22" t="str">
        <v>Jalisco</v>
      </c>
      <c r="D22">
        <v>728</v>
      </c>
      <c r="E22">
        <v>3</v>
      </c>
      <c r="F22" t="str">
        <v>Llamada a call center</v>
      </c>
      <c r="G22" t="str">
        <v>2015-06-08</v>
      </c>
      <c r="H22" t="str">
        <v>Reproceso documental</v>
      </c>
      <c r="I22" t="str">
        <v/>
      </c>
      <c r="J22" t="str">
        <v>Cada vez que entrego algo me piden otra cosa distinta. Van 3 vueltas a la sucursal 728 y sigo sin respuesta.</v>
      </c>
      <c r="K22" t="str">
        <v>3 intentos. Errores: 1 captura, 0 incompletos, 1 ilegibles. Ventana de captura 15 dias. Estatus: Card Sent. Sucursal 728.</v>
      </c>
    </row>
    <row r="23">
      <c r="A23" t="str">
        <v>C-019</v>
      </c>
      <c r="B23">
        <v>605</v>
      </c>
      <c r="C23" t="str">
        <v>Edo Mex</v>
      </c>
      <c r="D23">
        <v>214</v>
      </c>
      <c r="E23">
        <v>3</v>
      </c>
      <c r="F23" t="str">
        <v>Queja escrita</v>
      </c>
      <c r="G23" t="str">
        <v>2014-09-08</v>
      </c>
      <c r="H23" t="str">
        <v>Reproceso documental</v>
      </c>
      <c r="I23" t="str">
        <v>Caso atorado</v>
      </c>
      <c r="J23" t="str">
        <v>Llevo 18 días en este trámite y 3 entregas de documentos. No entiendo por qué no revisan todo junto la primera vez.</v>
      </c>
      <c r="K23" t="str">
        <v>3 intentos. Errores: 1 captura, 0 incompletos, 1 ilegibles. Ventana de captura 18 dias. Estatus: Score Accepted. Sucursal 214.</v>
      </c>
    </row>
    <row r="24">
      <c r="A24" t="str">
        <v>C-020</v>
      </c>
      <c r="B24">
        <v>828</v>
      </c>
      <c r="C24" t="str">
        <v>Edo Mex</v>
      </c>
      <c r="D24">
        <v>110</v>
      </c>
      <c r="E24">
        <v>4</v>
      </c>
      <c r="F24" t="str">
        <v>Queja escrita</v>
      </c>
      <c r="G24" t="str">
        <v>2015-08-06</v>
      </c>
      <c r="H24" t="str">
        <v>Reproceso documental</v>
      </c>
      <c r="I24" t="str">
        <v>Tiempo de ciclo</v>
      </c>
      <c r="J24" t="str">
        <v>Cuatro rondas de correcciones, dos de ellas por errores de captura del banco. Al final ni siquiera me dieron una explicación.</v>
      </c>
      <c r="K24" t="str">
        <v>4 intentos. Errores: 2 captura, 0 incompletos, 1 ilegibles. Ventana de captura 81 dias. Estatus: Score Rejected. Sucursal 110.</v>
      </c>
    </row>
    <row r="25">
      <c r="A25" t="str">
        <v>C-021</v>
      </c>
      <c r="B25">
        <v>275</v>
      </c>
      <c r="C25" t="str">
        <v>Edo Mex</v>
      </c>
      <c r="D25">
        <v>692</v>
      </c>
      <c r="E25">
        <v>3</v>
      </c>
      <c r="F25" t="str">
        <v>Queja escrita</v>
      </c>
      <c r="G25" t="str">
        <v>2015-06-07</v>
      </c>
      <c r="H25" t="str">
        <v>Reproceso documental</v>
      </c>
      <c r="I25" t="str">
        <v/>
      </c>
      <c r="J25" t="str">
        <v>Llevo 30 días de captura y 3 entregas. Un dato mal escrito y una copia borrosa bastaron para atrasar todo.</v>
      </c>
      <c r="K25" t="str">
        <v>3 intentos. Errores: 1 captura, 0 incompletos, 1 ilegibles. Ventana de captura 30 dias. Estatus: Card Sent. Sucursal 692.</v>
      </c>
    </row>
    <row r="26">
      <c r="A26" t="str">
        <v>C-022</v>
      </c>
      <c r="B26">
        <v>987</v>
      </c>
      <c r="C26" t="str">
        <v>Puebla</v>
      </c>
      <c r="D26">
        <v>477</v>
      </c>
      <c r="E26">
        <v>3</v>
      </c>
      <c r="F26" t="str">
        <v>Queja escrita</v>
      </c>
      <c r="G26" t="str">
        <v>2014-10-13</v>
      </c>
      <c r="H26" t="str">
        <v>Reproceso documental</v>
      </c>
      <c r="I26" t="str">
        <v/>
      </c>
      <c r="J26" t="str">
        <v>Me hicieron volver por papeles en 3 ocasiones. Trabajo lejos de la sucursal 477 y cada visita me cuesta medio día.</v>
      </c>
      <c r="K26" t="str">
        <v>3 intentos. Errores: 0 captura, 2 incompletos, 0 ilegibles. Ventana de captura 17 dias. Estatus: Card Sent. Sucursal 477.</v>
      </c>
    </row>
    <row r="27">
      <c r="A27" t="str">
        <v>C-023</v>
      </c>
      <c r="B27">
        <v>826</v>
      </c>
      <c r="C27" t="str">
        <v>D.F.</v>
      </c>
      <c r="D27">
        <v>413</v>
      </c>
      <c r="E27">
        <v>4</v>
      </c>
      <c r="F27" t="str">
        <v>Queja escrita</v>
      </c>
      <c r="G27" t="str">
        <v>2015-11-26</v>
      </c>
      <c r="H27" t="str">
        <v>Reproceso documental</v>
      </c>
      <c r="I27" t="str">
        <v>Tiempo de ciclo</v>
      </c>
      <c r="J27" t="str">
        <v>Hubo dos errores de captura y una identificación que dijeron que no se leía. Van 4 intentos y todavía no tengo tarjeta.</v>
      </c>
      <c r="K27" t="str">
        <v>4 intentos. Errores: 2 captura, 0 incompletos, 1 ilegibles. Ventana de captura 40 dias. Estatus: Score Accepted. Sucursal 413.</v>
      </c>
    </row>
    <row r="28">
      <c r="A28" t="str">
        <v>C-024</v>
      </c>
      <c r="B28">
        <v>1191</v>
      </c>
      <c r="C28" t="str">
        <v>Jalisco</v>
      </c>
      <c r="D28">
        <v>453</v>
      </c>
      <c r="E28">
        <v>3</v>
      </c>
      <c r="F28" t="str">
        <v>Queja escrita</v>
      </c>
      <c r="G28" t="str">
        <v>2015-05-06</v>
      </c>
      <c r="H28" t="str">
        <v>Reproceso documental</v>
      </c>
      <c r="I28" t="str">
        <v>Tiempo de ciclo</v>
      </c>
      <c r="J28" t="str">
        <v>Primero faltaba un comprobante y luego otro documento salió ilegible. 46 días de captura y 3 intentos para nada.</v>
      </c>
      <c r="K28" t="str">
        <v>3 intentos. Errores: 0 captura, 1 incompletos, 1 ilegibles. Ventana de captura 46 dias. Estatus: Bureau Rejected. Sucursal 453.</v>
      </c>
    </row>
    <row r="29">
      <c r="A29" t="str">
        <v>C-025</v>
      </c>
      <c r="B29">
        <v>864</v>
      </c>
      <c r="C29" t="str">
        <v>Jalisco</v>
      </c>
      <c r="D29">
        <v>126</v>
      </c>
      <c r="E29">
        <v>3</v>
      </c>
      <c r="F29" t="str">
        <v>Redes sociales</v>
      </c>
      <c r="G29" t="str">
        <v>2015-07-14</v>
      </c>
      <c r="H29" t="str">
        <v>Reproceso documental</v>
      </c>
      <c r="I29" t="str">
        <v>Tiempo de ciclo</v>
      </c>
      <c r="J29" t="str">
        <v>La tarjeta ya llegó, pero tardaron 63 días. Me pidieron un papel que faltaba y luego corrigieron un dato mal capturado.</v>
      </c>
      <c r="K29" t="str">
        <v>3 intentos. Errores: 1 captura, 1 incompletos, 0 ilegibles. Ventana de captura 47 dias. Estatus: Card Sent. Sucursal 126.</v>
      </c>
    </row>
    <row r="30">
      <c r="A30" t="str">
        <v>C-026</v>
      </c>
      <c r="B30">
        <v>1098</v>
      </c>
      <c r="C30" t="str">
        <v>D.F.</v>
      </c>
      <c r="D30">
        <v>413</v>
      </c>
      <c r="E30">
        <v>3</v>
      </c>
      <c r="F30" t="str">
        <v>Llamada a call center</v>
      </c>
      <c r="G30" t="str">
        <v>2015-06-08</v>
      </c>
      <c r="H30" t="str">
        <v>Reproceso documental</v>
      </c>
      <c r="I30" t="str">
        <v/>
      </c>
      <c r="J30" t="str">
        <v>Tres intentos: uno por un dato mal capturado y otro por un documento que faltaba. En la sucursal 413 nadie revisa todo de una vez.</v>
      </c>
      <c r="K30" t="str">
        <v>3 intentos. Errores: 1 captura, 1 incompletos, 0 ilegibles. Ventana de captura 34 dias. Estatus: Bureau Rejected. Sucursal 413.</v>
      </c>
    </row>
    <row r="31">
      <c r="A31" t="str">
        <v>C-027</v>
      </c>
      <c r="B31">
        <v>738</v>
      </c>
      <c r="C31" t="str">
        <v>Chiapas</v>
      </c>
      <c r="D31">
        <v>352</v>
      </c>
      <c r="E31">
        <v>4</v>
      </c>
      <c r="F31" t="str">
        <v>Encuesta post-venta</v>
      </c>
      <c r="G31" t="str">
        <v>2015-07-28</v>
      </c>
      <c r="H31" t="str">
        <v>Reproceso documental</v>
      </c>
      <c r="I31" t="str">
        <v>Tiempo de ciclo</v>
      </c>
      <c r="J31" t="str">
        <v>4 veces me han pedido correcciones. Empecé el 15 de mayo y seguimos igual.</v>
      </c>
      <c r="K31" t="str">
        <v>4 intentos. Errores: 2 captura, 1 incompletos, 0 ilegibles. Ventana de captura 60 dias. Estatus: Score Accepted. Sucursal 352.</v>
      </c>
    </row>
    <row r="32">
      <c r="A32" t="str">
        <v>C-028</v>
      </c>
      <c r="B32">
        <v>703</v>
      </c>
      <c r="C32" t="str">
        <v>Veracruz</v>
      </c>
      <c r="D32">
        <v>446</v>
      </c>
      <c r="E32">
        <v>3</v>
      </c>
      <c r="F32" t="str">
        <v>Queja escrita</v>
      </c>
      <c r="G32" t="str">
        <v>2015-07-22</v>
      </c>
      <c r="H32" t="str">
        <v>Reproceso documental</v>
      </c>
      <c r="I32" t="str">
        <v>Tiempo de ciclo</v>
      </c>
      <c r="J32" t="str">
        <v>Cada visita a la sucursal 446 me costó medio día de trabajo. Fueron 3 intentos y 48 días solo para capturar mi solicitud.</v>
      </c>
      <c r="K32" t="str">
        <v>3 intentos. Errores: 1 captura, 1 incompletos, 0 ilegibles. Ventana de captura 48 dias. Estatus: Card Sent. Sucursal 446.</v>
      </c>
    </row>
    <row r="33">
      <c r="A33" t="str">
        <v>C-029</v>
      </c>
      <c r="B33">
        <v>761</v>
      </c>
      <c r="C33" t="str">
        <v>D.F.</v>
      </c>
      <c r="D33">
        <v>676</v>
      </c>
      <c r="E33">
        <v>4</v>
      </c>
      <c r="F33" t="str">
        <v>Redes sociales</v>
      </c>
      <c r="G33" t="str">
        <v>2015-10-11</v>
      </c>
      <c r="H33" t="str">
        <v>Reproceso documental</v>
      </c>
      <c r="I33" t="str">
        <v>Tiempo de ciclo</v>
      </c>
      <c r="J33" t="str">
        <v>Ya perdí la cuenta de las copias que he entregado. Fueron 4 intentos, dos de ellos porque faltaban papeles.</v>
      </c>
      <c r="K33" t="str">
        <v>4 intentos. Errores: 1 captura, 2 incompletos, 0 ilegibles. Ventana de captura 65 dias. Estatus: Authorized. Sucursal 676.</v>
      </c>
    </row>
    <row r="34">
      <c r="A34" t="str">
        <v>C-030</v>
      </c>
      <c r="B34">
        <v>473</v>
      </c>
      <c r="C34" t="str">
        <v>Edo Mex</v>
      </c>
      <c r="D34">
        <v>110</v>
      </c>
      <c r="E34">
        <v>3</v>
      </c>
      <c r="F34" t="str">
        <v>Redes sociales</v>
      </c>
      <c r="G34" t="str">
        <v>2014-09-16</v>
      </c>
      <c r="H34" t="str">
        <v>Reproceso documental</v>
      </c>
      <c r="I34" t="str">
        <v>Tiempo de ciclo</v>
      </c>
      <c r="J34" t="str">
        <v>Mi expediente lo devolvieron primero por un documento incompleto y después por un error de captura. Nadie se hizo responsable.</v>
      </c>
      <c r="K34" t="str">
        <v>3 intentos. Errores: 1 captura, 1 incompletos, 0 ilegibles. Ventana de captura 59 dias. Estatus: Card Sent. Sucursal 110.</v>
      </c>
    </row>
    <row r="35">
      <c r="A35" t="str">
        <v>C-031</v>
      </c>
      <c r="B35">
        <v>12</v>
      </c>
      <c r="C35" t="str">
        <v>D.F.</v>
      </c>
      <c r="D35">
        <v>676</v>
      </c>
      <c r="E35">
        <v>3</v>
      </c>
      <c r="F35" t="str">
        <v>Encuesta post-venta</v>
      </c>
      <c r="G35" t="str">
        <v>2015-11-11</v>
      </c>
      <c r="H35" t="str">
        <v>Reproceso documental</v>
      </c>
      <c r="I35" t="str">
        <v>Tiempo de ciclo</v>
      </c>
      <c r="J35" t="str">
        <v>Desde el 12 de agosto ando con este trámite. Un papel faltante y otro ilegible me costaron 78 días de captura.</v>
      </c>
      <c r="K35" t="str">
        <v>3 intentos. Errores: 0 captura, 1 incompletos, 1 ilegibles. Ventana de captura 78 dias. Estatus: Authorized. Sucursal 676.</v>
      </c>
    </row>
    <row r="36">
      <c r="A36" t="str">
        <v>C-032</v>
      </c>
      <c r="B36">
        <v>604</v>
      </c>
      <c r="C36" t="str">
        <v>Edo Mex</v>
      </c>
      <c r="D36">
        <v>110</v>
      </c>
      <c r="E36">
        <v>3</v>
      </c>
      <c r="F36" t="str">
        <v>Encuesta post-venta</v>
      </c>
      <c r="G36" t="str">
        <v>2015-08-11</v>
      </c>
      <c r="H36" t="str">
        <v>Reproceso documental</v>
      </c>
      <c r="I36" t="str">
        <v/>
      </c>
      <c r="J36" t="str">
        <v>En la sucursal 110 cada ejecutivo me pidió algo diferente. Tres intentos en 19 días y al final no procedió.</v>
      </c>
      <c r="K36" t="str">
        <v>3 intentos. Errores: 1 captura, 0 incompletos, 1 ilegibles. Ventana de captura 19 dias. Estatus: Bureau Rejected. Sucursal 110.</v>
      </c>
    </row>
    <row r="37">
      <c r="A37" t="str">
        <v>C-033</v>
      </c>
      <c r="B37">
        <v>1315</v>
      </c>
      <c r="C37" t="str">
        <v>D.F.</v>
      </c>
      <c r="D37">
        <v>676</v>
      </c>
      <c r="E37">
        <v>5</v>
      </c>
      <c r="F37" t="str">
        <v>Redes sociales</v>
      </c>
      <c r="G37" t="str">
        <v>2015-10-23</v>
      </c>
      <c r="H37" t="str">
        <v>Reproceso documental</v>
      </c>
      <c r="I37" t="str">
        <v>Tiempo de ciclo</v>
      </c>
      <c r="J37" t="str">
        <v>Pedí la tarjeta el 12 de agosto. Cinco intentos y 69 días de captura entre errores, papeles faltantes y una copia borrosa.</v>
      </c>
      <c r="K37" t="str">
        <v>5 intentos. Errores: 2 captura, 1 incompletos, 1 ilegibles. Ventana de captura 69 dias. Estatus: Score Accepted. Sucursal 676.</v>
      </c>
    </row>
    <row r="38">
      <c r="A38" t="str">
        <v>C-034</v>
      </c>
      <c r="B38">
        <v>894</v>
      </c>
      <c r="C38" t="str">
        <v>Jalisco</v>
      </c>
      <c r="D38">
        <v>728</v>
      </c>
      <c r="E38">
        <v>4</v>
      </c>
      <c r="F38" t="str">
        <v>Llamada a call center</v>
      </c>
      <c r="G38" t="str">
        <v>2014-11-10</v>
      </c>
      <c r="H38" t="str">
        <v>Reproceso documental</v>
      </c>
      <c r="I38" t="str">
        <v>Tiempo de ciclo</v>
      </c>
      <c r="J38" t="str">
        <v>Me aprobaron, pero antes hubo 4 intentos y 54 días de captura. Dos de esos errores fueron del banco al capturar.</v>
      </c>
      <c r="K38" t="str">
        <v>4 intentos. Errores: 2 captura, 1 incompletos, 0 ilegibles. Ventana de captura 54 dias. Estatus: Score Accepted. Sucursal 728.</v>
      </c>
    </row>
    <row r="39">
      <c r="A39" t="str">
        <v>C-035</v>
      </c>
      <c r="B39">
        <v>1111</v>
      </c>
      <c r="C39" t="str">
        <v>Sinaloa</v>
      </c>
      <c r="D39">
        <v>440</v>
      </c>
      <c r="E39">
        <v>3</v>
      </c>
      <c r="F39" t="str">
        <v>Queja escrita</v>
      </c>
      <c r="G39" t="str">
        <v>2015-07-19</v>
      </c>
      <c r="H39" t="str">
        <v>Reproceso documental</v>
      </c>
      <c r="I39" t="str">
        <v>Tiempo de ciclo</v>
      </c>
      <c r="J39" t="str">
        <v>52 días de captura por un documento faltante y una copia que dijeron que no se leía. Tres intentos para algo sencillo.</v>
      </c>
      <c r="K39" t="str">
        <v>3 intentos. Errores: 0 captura, 1 incompletos, 1 ilegibles. Ventana de captura 52 dias. Estatus: Card Sent. Sucursal 440.</v>
      </c>
    </row>
    <row r="40">
      <c r="A40" t="str">
        <v>C-036</v>
      </c>
      <c r="B40">
        <v>582</v>
      </c>
      <c r="C40" t="str">
        <v>D.F.</v>
      </c>
      <c r="D40">
        <v>676</v>
      </c>
      <c r="E40">
        <v>3</v>
      </c>
      <c r="F40" t="str">
        <v>Queja escrita</v>
      </c>
      <c r="G40" t="str">
        <v>2015-08-23</v>
      </c>
      <c r="H40" t="str">
        <v>Reproceso documental</v>
      </c>
      <c r="I40" t="str">
        <v/>
      </c>
      <c r="J40" t="str">
        <v>En la sucursal 676 me pidieron papeles nuevos en cada visita. Me regresaron el trámite dos veces por documentos incompletos.</v>
      </c>
      <c r="K40" t="str">
        <v>3 intentos. Errores: 0 captura, 2 incompletos, 0 ilegibles. Ventana de captura 26 dias. Estatus: Card Sent. Sucursal 676.</v>
      </c>
    </row>
    <row r="41">
      <c r="A41" t="str">
        <v>C-037</v>
      </c>
      <c r="B41">
        <v>729</v>
      </c>
      <c r="C41" t="str">
        <v>Jalisco</v>
      </c>
      <c r="D41">
        <v>126</v>
      </c>
      <c r="E41">
        <v>3</v>
      </c>
      <c r="F41" t="str">
        <v>Redes sociales</v>
      </c>
      <c r="G41" t="str">
        <v>2014-06-26</v>
      </c>
      <c r="H41" t="str">
        <v>Reproceso documental</v>
      </c>
      <c r="I41" t="str">
        <v/>
      </c>
      <c r="J41" t="str">
        <v>Me pidieron un papel que no estaba en ninguna lista y además capturaron mal mi dirección. Tres intentos en 26 días.</v>
      </c>
      <c r="K41" t="str">
        <v>3 intentos. Errores: 1 captura, 1 incompletos, 0 ilegibles. Ventana de captura 26 dias. Estatus: Bureau Rejected. Sucursal 126.</v>
      </c>
    </row>
    <row r="42">
      <c r="A42" t="str">
        <v>C-038</v>
      </c>
      <c r="B42">
        <v>793</v>
      </c>
      <c r="C42" t="str">
        <v>Edo Mex</v>
      </c>
      <c r="D42">
        <v>214</v>
      </c>
      <c r="E42">
        <v>3</v>
      </c>
      <c r="F42" t="str">
        <v>Encuesta post-venta</v>
      </c>
      <c r="G42" t="str">
        <v>2015-03-17</v>
      </c>
      <c r="H42" t="str">
        <v>Reproceso documental</v>
      </c>
      <c r="I42" t="str">
        <v/>
      </c>
      <c r="J42" t="str">
        <v>Hubo 3 rondas de correcciones por un papel faltante y un dato mal tecleado. La atención fue amable, pero el proceso es desgastante.</v>
      </c>
      <c r="K42" t="str">
        <v>3 intentos. Errores: 1 captura, 1 incompletos, 0 ilegibles. Ventana de captura 30 dias. Estatus: Card Sent. Sucursal 214.</v>
      </c>
    </row>
    <row r="43">
      <c r="A43" t="str">
        <v>C-039</v>
      </c>
      <c r="B43">
        <v>504</v>
      </c>
      <c r="C43" t="str">
        <v>Edo Mex</v>
      </c>
      <c r="D43">
        <v>110</v>
      </c>
      <c r="E43">
        <v>4</v>
      </c>
      <c r="F43" t="str">
        <v>Llamada a call center</v>
      </c>
      <c r="G43" t="str">
        <v>2015-01-31</v>
      </c>
      <c r="H43" t="str">
        <v>Reproceso documental</v>
      </c>
      <c r="I43" t="str">
        <v>Tiempo de ciclo</v>
      </c>
      <c r="J43" t="str">
        <v>Tengo 15 años como cliente y aun así necesitaron 4 intentos para capturar mi solicitud en la sucursal 110.</v>
      </c>
      <c r="K43" t="str">
        <v>4 intentos. Errores: 2 captura, 1 incompletos, 0 ilegibles. Ventana de captura 35 dias. Estatus: Bureau Rejected. Sucursal 110.</v>
      </c>
    </row>
    <row r="44">
      <c r="A44" t="str">
        <v>C-040</v>
      </c>
      <c r="B44">
        <v>446</v>
      </c>
      <c r="C44" t="str">
        <v>Veracruz</v>
      </c>
      <c r="D44">
        <v>416</v>
      </c>
      <c r="E44">
        <v>3</v>
      </c>
      <c r="F44" t="str">
        <v>Queja escrita</v>
      </c>
      <c r="G44" t="str">
        <v>2015-01-21</v>
      </c>
      <c r="H44" t="str">
        <v>Reproceso documental</v>
      </c>
      <c r="I44" t="str">
        <v/>
      </c>
      <c r="J44" t="str">
        <v>Empecé el 3 de enero. En 14 días tuve que ir 3 veces a la sucursal 416 por correcciones.</v>
      </c>
      <c r="K44" t="str">
        <v>3 intentos. Errores: 1 captura, 1 incompletos, 0 ilegibles. Ventana de captura 14 dias. Estatus: Bureau Rejected. Sucursal 416.</v>
      </c>
    </row>
    <row r="45">
      <c r="A45" t="str">
        <v>C-041</v>
      </c>
      <c r="B45">
        <v>606</v>
      </c>
      <c r="C45" t="str">
        <v>Edo Mex</v>
      </c>
      <c r="D45">
        <v>692</v>
      </c>
      <c r="E45">
        <v>3</v>
      </c>
      <c r="F45" t="str">
        <v>Queja escrita</v>
      </c>
      <c r="G45" t="str">
        <v>2015-08-09</v>
      </c>
      <c r="H45" t="str">
        <v>Reproceso documental</v>
      </c>
      <c r="I45" t="str">
        <v>Tiempo de ciclo</v>
      </c>
      <c r="J45" t="str">
        <v>Volví 3 veces a entregar copias que ya había dado. 51 días de captura para terminar sin tarjeta.</v>
      </c>
      <c r="K45" t="str">
        <v>3 intentos. Errores: 0 captura, 1 incompletos, 0 ilegibles. Ventana de captura 51 dias. Estatus: Score Rejected. Sucursal 692.</v>
      </c>
    </row>
    <row r="46">
      <c r="A46" t="str">
        <v>C-042</v>
      </c>
      <c r="B46">
        <v>1103</v>
      </c>
      <c r="C46" t="str">
        <v>Edo Mex</v>
      </c>
      <c r="D46">
        <v>110</v>
      </c>
      <c r="E46">
        <v>3</v>
      </c>
      <c r="F46" t="str">
        <v>Llamada a call center</v>
      </c>
      <c r="G46" t="str">
        <v>2014-10-10</v>
      </c>
      <c r="H46" t="str">
        <v>Reproceso documental</v>
      </c>
      <c r="I46" t="str">
        <v>Tiempo de ciclo</v>
      </c>
      <c r="J46" t="str">
        <v>Tercera vuelta a la sucursal 110: primero faltaba un papel y luego un dato estaba mal. Sigo esperando noticias.</v>
      </c>
      <c r="K46" t="str">
        <v>3 intentos. Errores: 1 captura, 1 incompletos, 0 ilegibles. Ventana de captura 41 dias. Estatus: Card Sent. Sucursal 110.</v>
      </c>
    </row>
    <row r="47">
      <c r="A47" t="str">
        <v>C-043</v>
      </c>
      <c r="B47">
        <v>959</v>
      </c>
      <c r="C47" t="str">
        <v>Nuevo León</v>
      </c>
      <c r="D47">
        <v>455</v>
      </c>
      <c r="E47">
        <v>5</v>
      </c>
      <c r="F47" t="str">
        <v>Redes sociales</v>
      </c>
      <c r="G47" t="str">
        <v>2015-11-16</v>
      </c>
      <c r="H47" t="str">
        <v>Error de captura</v>
      </c>
      <c r="I47" t="str">
        <v>Tiempo de ciclo</v>
      </c>
      <c r="J47" t="str">
        <v>Tres errores de captura seguidos en la misma solicitud. Mi nombre venía mal escrito una y otra vez.</v>
      </c>
      <c r="K47" t="str">
        <v>5 intentos. Errores: 3 captura, 1 incompletos, 0 ilegibles. Ventana de captura 38 dias. Estatus: Bureau Rejected. Sucursal 455.</v>
      </c>
    </row>
    <row r="48">
      <c r="A48" t="str">
        <v>C-044</v>
      </c>
      <c r="B48">
        <v>844</v>
      </c>
      <c r="C48" t="str">
        <v>Edo Mex</v>
      </c>
      <c r="D48">
        <v>110</v>
      </c>
      <c r="E48">
        <v>4</v>
      </c>
      <c r="F48" t="str">
        <v>Queja escrita</v>
      </c>
      <c r="G48" t="str">
        <v>2015-09-07</v>
      </c>
      <c r="H48" t="str">
        <v>Error de captura</v>
      </c>
      <c r="I48" t="str">
        <v>Tiempo de ciclo</v>
      </c>
      <c r="J48" t="str">
        <v>Revisaron mi solicitud y encontraron errores de captura del propio banco. Y me tocó esperar de nuevo.</v>
      </c>
      <c r="K48" t="str">
        <v>4 intentos. Errores: 2 captura, 0 incompletos, 1 ilegibles. Ventana de captura 50 dias. Estatus: Card Sent. Sucursal 110.</v>
      </c>
    </row>
    <row r="49">
      <c r="A49" t="str">
        <v>C-045</v>
      </c>
      <c r="B49">
        <v>1159</v>
      </c>
      <c r="C49" t="str">
        <v>D.F.</v>
      </c>
      <c r="D49">
        <v>275</v>
      </c>
      <c r="E49">
        <v>4</v>
      </c>
      <c r="F49" t="str">
        <v>Encuesta post-venta</v>
      </c>
      <c r="G49" t="str">
        <v>2015-08-16</v>
      </c>
      <c r="H49" t="str">
        <v>Error de captura</v>
      </c>
      <c r="I49" t="str">
        <v>Caso atorado</v>
      </c>
      <c r="J49" t="str">
        <v>Me aprobaron después de dos errores de captura, pero la tarjeta no ha llegado y nadie sabe decirme dónde está.</v>
      </c>
      <c r="K49" t="str">
        <v>4 intentos. Errores: 2 captura, 0 incompletos, 0 ilegibles. Ventana de captura 29 dias. Estatus: Score Accepted. Sucursal 275.</v>
      </c>
    </row>
    <row r="50">
      <c r="A50" t="str">
        <v>C-046</v>
      </c>
      <c r="B50">
        <v>103</v>
      </c>
      <c r="C50" t="str">
        <v>Veracruz</v>
      </c>
      <c r="D50">
        <v>416</v>
      </c>
      <c r="E50">
        <v>4</v>
      </c>
      <c r="F50" t="str">
        <v>Llamada a call center</v>
      </c>
      <c r="G50" t="str">
        <v>2015-04-26</v>
      </c>
      <c r="H50" t="str">
        <v>Error de captura</v>
      </c>
      <c r="I50" t="str">
        <v>Caso atorado</v>
      </c>
      <c r="J50" t="str">
        <v>El sistema tenía mal mi RFC porque lo capturaron mal. Tres semanas perdidas por un dato.</v>
      </c>
      <c r="K50" t="str">
        <v>4 intentos. Errores: 2 captura, 1 incompletos, 0 ilegibles. Ventana de captura 29 dias. Estatus: Authorized. Sucursal 416.</v>
      </c>
    </row>
    <row r="51">
      <c r="A51" t="str">
        <v>C-047</v>
      </c>
      <c r="B51">
        <v>1434</v>
      </c>
      <c r="C51" t="str">
        <v>Jalisco</v>
      </c>
      <c r="D51">
        <v>453</v>
      </c>
      <c r="E51">
        <v>3</v>
      </c>
      <c r="F51" t="str">
        <v>Llamada a call center</v>
      </c>
      <c r="G51" t="str">
        <v>2015-01-15</v>
      </c>
      <c r="H51" t="str">
        <v>Error de captura</v>
      </c>
      <c r="I51" t="str">
        <v>Tiempo de ciclo</v>
      </c>
      <c r="J51" t="str">
        <v>Mi domicilio quedó mal registrado y eso atrasó todo 74 días. Fue un error de ellos, no mío.</v>
      </c>
      <c r="K51" t="str">
        <v>3 intentos. Errores: 2 captura, 0 incompletos, 0 ilegibles. Ventana de captura 74 dias. Estatus: Authorized. Sucursal 453.</v>
      </c>
    </row>
    <row r="52">
      <c r="A52" t="str">
        <v>C-048</v>
      </c>
      <c r="B52">
        <v>462</v>
      </c>
      <c r="C52" t="str">
        <v>Jalisco</v>
      </c>
      <c r="D52">
        <v>728</v>
      </c>
      <c r="E52">
        <v>4</v>
      </c>
      <c r="F52" t="str">
        <v>Redes sociales</v>
      </c>
      <c r="G52" t="str">
        <v>2014-12-13</v>
      </c>
      <c r="H52" t="str">
        <v>Error de captura</v>
      </c>
      <c r="I52" t="str">
        <v>Tiempo de ciclo</v>
      </c>
      <c r="J52" t="str">
        <v>El ejecutivo teclea mal mis datos y el costo de corregirlo lo pago yo con mi tiempo. Van 3 errores de captura.</v>
      </c>
      <c r="K52" t="str">
        <v>4 intentos. Errores: 3 captura, 0 incompletos, 0 ilegibles. Ventana de captura 69 dias. Estatus: Score Accepted. Sucursal 728.</v>
      </c>
    </row>
    <row r="53">
      <c r="A53" t="str">
        <v>C-049</v>
      </c>
      <c r="B53">
        <v>824</v>
      </c>
      <c r="C53" t="str">
        <v>Jalisco</v>
      </c>
      <c r="D53">
        <v>728</v>
      </c>
      <c r="E53">
        <v>4</v>
      </c>
      <c r="F53" t="str">
        <v>Llamada a call center</v>
      </c>
      <c r="G53" t="str">
        <v>2014-12-27</v>
      </c>
      <c r="H53" t="str">
        <v>Error de captura</v>
      </c>
      <c r="I53" t="str">
        <v>Tiempo de ciclo</v>
      </c>
      <c r="J53" t="str">
        <v>Me autorizaron, pero antes hubo dos errores de captura y un papel que faltaba. 38 días solo en la sucursal.</v>
      </c>
      <c r="K53" t="str">
        <v>4 intentos. Errores: 2 captura, 1 incompletos, 0 ilegibles. Ventana de captura 38 dias. Estatus: Authorized. Sucursal 728.</v>
      </c>
    </row>
    <row r="54">
      <c r="A54" t="str">
        <v>C-050</v>
      </c>
      <c r="B54">
        <v>1340</v>
      </c>
      <c r="C54" t="str">
        <v>Veracruz</v>
      </c>
      <c r="D54">
        <v>416</v>
      </c>
      <c r="E54">
        <v>4</v>
      </c>
      <c r="F54" t="str">
        <v>Llamada a call center</v>
      </c>
      <c r="G54" t="str">
        <v>2015-05-11</v>
      </c>
      <c r="H54" t="str">
        <v>Error de captura</v>
      </c>
      <c r="I54" t="str">
        <v>Tiempo de ciclo</v>
      </c>
      <c r="J54" t="str">
        <v>La primera captura tenía mi CURP mal escrita y la segunda también. Luego faltó un comprobante. Fueron 4 intentos.</v>
      </c>
      <c r="K54" t="str">
        <v>4 intentos. Errores: 2 captura, 1 incompletos, 0 ilegibles. Ventana de captura 59 dias. Estatus: Score Accepted. Sucursal 416.</v>
      </c>
    </row>
    <row r="55">
      <c r="A55" t="str">
        <v>C-051</v>
      </c>
      <c r="B55">
        <v>771</v>
      </c>
      <c r="C55" t="str">
        <v>Nuevo León</v>
      </c>
      <c r="D55">
        <v>455</v>
      </c>
      <c r="E55">
        <v>3</v>
      </c>
      <c r="F55" t="str">
        <v>Llamada a call center</v>
      </c>
      <c r="G55" t="str">
        <v>2015-01-29</v>
      </c>
      <c r="H55" t="str">
        <v>Error de captura</v>
      </c>
      <c r="I55" t="str">
        <v>Tiempo de ciclo</v>
      </c>
      <c r="J55" t="str">
        <v>Dos errores de captura en mi solicitud me costaron 47 días. Nadie me explicó qué se capturó mal.</v>
      </c>
      <c r="K55" t="str">
        <v>3 intentos. Errores: 2 captura, 0 incompletos, 0 ilegibles. Ventana de captura 47 dias. Estatus: Card Sent. Sucursal 455.</v>
      </c>
    </row>
    <row r="56">
      <c r="A56" t="str">
        <v>C-052</v>
      </c>
      <c r="B56">
        <v>385</v>
      </c>
      <c r="C56" t="str">
        <v>D.F.</v>
      </c>
      <c r="D56">
        <v>275</v>
      </c>
      <c r="E56">
        <v>3</v>
      </c>
      <c r="F56" t="str">
        <v>Llamada a call center</v>
      </c>
      <c r="G56" t="str">
        <v>2014-06-22</v>
      </c>
      <c r="H56" t="str">
        <v>Error de captura</v>
      </c>
      <c r="I56" t="str">
        <v>Reproceso documental</v>
      </c>
      <c r="J56" t="str">
        <v>Capturaron mal mi información y por eso se rechazó el primer intento. Nadie me avisó, yo tuve que preguntar.</v>
      </c>
      <c r="K56" t="str">
        <v>3 intentos. Errores: 2 captura, 0 incompletos, 0 ilegibles. Ventana de captura 19 dias. Estatus: Score Rejected. Sucursal 275.</v>
      </c>
    </row>
    <row r="57">
      <c r="A57" t="str">
        <v>C-053</v>
      </c>
      <c r="B57">
        <v>39</v>
      </c>
      <c r="C57" t="str">
        <v>Jalisco</v>
      </c>
      <c r="D57">
        <v>126</v>
      </c>
      <c r="E57">
        <v>3</v>
      </c>
      <c r="F57" t="str">
        <v>Queja escrita</v>
      </c>
      <c r="G57" t="str">
        <v>2015-11-26</v>
      </c>
      <c r="H57" t="str">
        <v>Error de captura</v>
      </c>
      <c r="I57" t="str">
        <v>Tiempo de ciclo</v>
      </c>
      <c r="J57" t="str">
        <v>Me dijeron que hubo un error al capturar mis datos, y luego otro. Dos errores de captura en la sucursal 126.</v>
      </c>
      <c r="K57" t="str">
        <v>3 intentos. Errores: 2 captura, 0 incompletos, 0 ilegibles. Ventana de captura 50 dias. Estatus: Card Sent. Sucursal 126.</v>
      </c>
    </row>
    <row r="58">
      <c r="A58" t="str">
        <v>C-054</v>
      </c>
      <c r="B58">
        <v>472</v>
      </c>
      <c r="C58" t="str">
        <v>D.F.</v>
      </c>
      <c r="D58">
        <v>676</v>
      </c>
      <c r="E58">
        <v>3</v>
      </c>
      <c r="F58" t="str">
        <v>Llamada a call center</v>
      </c>
      <c r="G58" t="str">
        <v>2015-06-30</v>
      </c>
      <c r="H58" t="str">
        <v>Error de captura</v>
      </c>
      <c r="I58" t="str">
        <v>Tiempo de ciclo</v>
      </c>
      <c r="J58" t="str">
        <v>Me aprobaron, pero capturar mi solicitud tomó 49 días por dos errores de captura que no fueron míos.</v>
      </c>
      <c r="K58" t="str">
        <v>3 intentos. Errores: 2 captura, 0 incompletos, 0 ilegibles. Ventana de captura 49 dias. Estatus: Authorized. Sucursal 676.</v>
      </c>
    </row>
    <row r="59">
      <c r="A59" t="str">
        <v>C-055</v>
      </c>
      <c r="B59">
        <v>360</v>
      </c>
      <c r="C59" t="str">
        <v>Veracruz</v>
      </c>
      <c r="D59">
        <v>416</v>
      </c>
      <c r="E59">
        <v>4</v>
      </c>
      <c r="F59" t="str">
        <v>Queja escrita</v>
      </c>
      <c r="G59" t="str">
        <v>2015-07-12</v>
      </c>
      <c r="H59" t="str">
        <v>Error de captura</v>
      </c>
      <c r="I59" t="str">
        <v>Tiempo de ciclo</v>
      </c>
      <c r="J59" t="str">
        <v>Dos errores de captura seguidos y luego una copia que no se leía. 73 días para que al final no procediera.</v>
      </c>
      <c r="K59" t="str">
        <v>4 intentos. Errores: 2 captura, 0 incompletos, 1 ilegibles. Ventana de captura 73 dias. Estatus: Bureau Rejected. Sucursal 416.</v>
      </c>
    </row>
    <row r="60">
      <c r="A60" t="str">
        <v>C-056</v>
      </c>
      <c r="B60">
        <v>839</v>
      </c>
      <c r="C60" t="str">
        <v>Nuevo León</v>
      </c>
      <c r="D60">
        <v>256</v>
      </c>
      <c r="E60">
        <v>3</v>
      </c>
      <c r="F60" t="str">
        <v>Queja escrita</v>
      </c>
      <c r="G60" t="str">
        <v>2015-02-23</v>
      </c>
      <c r="H60" t="str">
        <v>Caso atorado</v>
      </c>
      <c r="I60" t="str">
        <v>Error de captura</v>
      </c>
      <c r="J60" t="str">
        <v>Mi solicitud fue autorizada y ahí se quedó. No hay tarjeta, no hay explicación, no hay a quién preguntar.</v>
      </c>
      <c r="K60" t="str">
        <v>3 intentos. Errores: 2 captura, 0 incompletos, 0 ilegibles. Ventana de captura 14 dias. Estatus: Authorized. Sucursal 256.</v>
      </c>
    </row>
    <row r="61">
      <c r="A61" t="str">
        <v>C-057</v>
      </c>
      <c r="B61">
        <v>896</v>
      </c>
      <c r="C61" t="str">
        <v>Veracruz</v>
      </c>
      <c r="D61">
        <v>446</v>
      </c>
      <c r="E61">
        <v>5</v>
      </c>
      <c r="F61" t="str">
        <v>Redes sociales</v>
      </c>
      <c r="G61" t="str">
        <v>2015-01-12</v>
      </c>
      <c r="H61" t="str">
        <v>Caso atorado</v>
      </c>
      <c r="I61" t="str">
        <v>Tiempo de ciclo</v>
      </c>
      <c r="J61" t="str">
        <v>Cinco intentos de captura, 89 días, y cuando por fin me autorizaron, la tarjeta nunca llegó.</v>
      </c>
      <c r="K61" t="str">
        <v>5 intentos. Errores: 3 captura, 1 incompletos, 0 ilegibles. Ventana de captura 89 dias. Estatus: Authorized. Sucursal 446.</v>
      </c>
    </row>
    <row r="62">
      <c r="A62" t="str">
        <v>C-058</v>
      </c>
      <c r="B62">
        <v>929</v>
      </c>
      <c r="C62" t="str">
        <v>D.F.</v>
      </c>
      <c r="D62">
        <v>631</v>
      </c>
      <c r="E62">
        <v>3</v>
      </c>
      <c r="F62" t="str">
        <v>Encuesta post-venta</v>
      </c>
      <c r="G62" t="str">
        <v>2014-11-16</v>
      </c>
      <c r="H62" t="str">
        <v>Caso atorado</v>
      </c>
      <c r="I62" t="str">
        <v>Tiempo de ciclo</v>
      </c>
      <c r="J62" t="str">
        <v>Me autorizaron y nadie me ha vuelto a llamar. Cuando marco me dicen que está en proceso, sin más detalle.</v>
      </c>
      <c r="K62" t="str">
        <v>3 intentos. Errores: 1 captura, 0 incompletos, 1 ilegibles. Ventana de captura 78 dias. Estatus: Authorized. Sucursal 631.</v>
      </c>
    </row>
    <row r="63">
      <c r="A63" t="str">
        <v>C-059</v>
      </c>
      <c r="B63">
        <v>286</v>
      </c>
      <c r="C63" t="str">
        <v>Edo Mex</v>
      </c>
      <c r="D63">
        <v>214</v>
      </c>
      <c r="E63">
        <v>3</v>
      </c>
      <c r="F63" t="str">
        <v>Queja escrita</v>
      </c>
      <c r="G63" t="str">
        <v>2015-03-15</v>
      </c>
      <c r="H63" t="str">
        <v>Caso atorado</v>
      </c>
      <c r="I63" t="str">
        <v>Reproceso documental</v>
      </c>
      <c r="J63" t="str">
        <v>Aprobaron mi crédito y luego silencio total. Ya no sé si cancelar o seguir esperando.</v>
      </c>
      <c r="K63" t="str">
        <v>3 intentos. Errores: 0 captura, 2 incompletos, 0 ilegibles. Ventana de captura 22 dias. Estatus: Authorized. Sucursal 214.</v>
      </c>
    </row>
    <row r="64">
      <c r="A64" t="str">
        <v>C-060</v>
      </c>
      <c r="B64">
        <v>249</v>
      </c>
      <c r="C64" t="str">
        <v>D.F.</v>
      </c>
      <c r="D64">
        <v>413</v>
      </c>
      <c r="E64">
        <v>2</v>
      </c>
      <c r="F64" t="str">
        <v>Llamada a call center</v>
      </c>
      <c r="G64" t="str">
        <v>2014-12-20</v>
      </c>
      <c r="H64" t="str">
        <v>Caso atorado</v>
      </c>
      <c r="I64" t="str">
        <v/>
      </c>
      <c r="J64" t="str">
        <v>El ejecutivo me dijo que ya estaba lista. En el call center me dicen que no aparece enviada.</v>
      </c>
      <c r="K64" t="str">
        <v>2 intentos. Errores: 1 captura, 0 incompletos, 0 ilegibles. Ventana de captura 12 dias. Estatus: Score Accepted. Sucursal 413.</v>
      </c>
    </row>
    <row r="65">
      <c r="A65" t="str">
        <v>C-061</v>
      </c>
      <c r="B65">
        <v>93</v>
      </c>
      <c r="C65" t="str">
        <v>D.F.</v>
      </c>
      <c r="D65">
        <v>631</v>
      </c>
      <c r="E65">
        <v>2</v>
      </c>
      <c r="F65" t="str">
        <v>Encuesta post-venta</v>
      </c>
      <c r="G65" t="str">
        <v>2015-02-08</v>
      </c>
      <c r="H65" t="str">
        <v>Caso atorado</v>
      </c>
      <c r="I65" t="str">
        <v/>
      </c>
      <c r="J65" t="str">
        <v>Me confirmaron que todo estaba aprobado hace semanas. Sigo revisando el buzón y la tarjeta no ha llegado.</v>
      </c>
      <c r="K65" t="str">
        <v>2 intentos. Errores: 1 captura, 0 incompletos, 0 ilegibles. Ventana de captura 18 dias. Estatus: Score Accepted. Sucursal 631.</v>
      </c>
    </row>
    <row r="66">
      <c r="A66" t="str">
        <v>C-062</v>
      </c>
      <c r="B66">
        <v>868</v>
      </c>
      <c r="C66" t="str">
        <v>Chiapas</v>
      </c>
      <c r="D66">
        <v>352</v>
      </c>
      <c r="E66">
        <v>2</v>
      </c>
      <c r="F66" t="str">
        <v>Redes sociales</v>
      </c>
      <c r="G66" t="str">
        <v>2014-07-17</v>
      </c>
      <c r="H66" t="str">
        <v>Caso atorado</v>
      </c>
      <c r="I66" t="str">
        <v/>
      </c>
      <c r="J66" t="str">
        <v>Pasé el análisis de crédito sin problema, solo faltó un papel al principio. Lo que no entiendo es por qué la tarjeta sigue sin salir.</v>
      </c>
      <c r="K66" t="str">
        <v>2 intentos. Errores: 0 captura, 1 incompletos, 0 ilegibles. Ventana de captura 16 dias. Estatus: Score Accepted. Sucursal 352.</v>
      </c>
    </row>
    <row r="67">
      <c r="A67" t="str">
        <v>C-063</v>
      </c>
      <c r="B67">
        <v>777</v>
      </c>
      <c r="C67" t="str">
        <v>D.F.</v>
      </c>
      <c r="D67">
        <v>676</v>
      </c>
      <c r="E67">
        <v>4</v>
      </c>
      <c r="F67" t="str">
        <v>Encuesta post-venta</v>
      </c>
      <c r="G67" t="str">
        <v>2015-10-04</v>
      </c>
      <c r="H67" t="str">
        <v>Caso atorado</v>
      </c>
      <c r="I67" t="str">
        <v>Tiempo de ciclo</v>
      </c>
      <c r="J67" t="str">
        <v>Primero un error de captura, después dos copias ilegibles. Me autorizaron y desde entonces nada.</v>
      </c>
      <c r="K67" t="str">
        <v>4 intentos. Errores: 1 captura, 0 incompletos, 2 ilegibles. Ventana de captura 41 dias. Estatus: Authorized. Sucursal 676.</v>
      </c>
    </row>
    <row r="68">
      <c r="A68" t="str">
        <v>C-064</v>
      </c>
      <c r="B68">
        <v>382</v>
      </c>
      <c r="C68" t="str">
        <v>D.F.</v>
      </c>
      <c r="D68">
        <v>631</v>
      </c>
      <c r="E68">
        <v>2</v>
      </c>
      <c r="F68" t="str">
        <v>Redes sociales</v>
      </c>
      <c r="G68" t="str">
        <v>2014-11-27</v>
      </c>
      <c r="H68" t="str">
        <v>Caso atorado</v>
      </c>
      <c r="I68" t="str">
        <v>Tiempo de ciclo</v>
      </c>
      <c r="J68" t="str">
        <v>Solo la captura tomó 46 días. Luego me confirmaron la aprobación por teléfono y sigo sin tarjeta.</v>
      </c>
      <c r="K68" t="str">
        <v>2 intentos. Errores: 1 captura, 0 incompletos, 0 ilegibles. Ventana de captura 46 dias. Estatus: Score Accepted. Sucursal 631.</v>
      </c>
    </row>
    <row r="69">
      <c r="A69" t="str">
        <v>C-065</v>
      </c>
      <c r="B69">
        <v>1149</v>
      </c>
      <c r="C69" t="str">
        <v>D.F.</v>
      </c>
      <c r="D69">
        <v>676</v>
      </c>
      <c r="E69">
        <v>3</v>
      </c>
      <c r="F69" t="str">
        <v>Encuesta post-venta</v>
      </c>
      <c r="G69" t="str">
        <v>2014-07-04</v>
      </c>
      <c r="H69" t="str">
        <v>Caso atorado</v>
      </c>
      <c r="I69" t="str">
        <v>Error de captura</v>
      </c>
      <c r="J69" t="str">
        <v>Ya me aprobaron la línea de 59,300 pesos hace semanas pero el plástico nunca llegó.</v>
      </c>
      <c r="K69" t="str">
        <v>3 intentos. Errores: 2 captura, 0 incompletos, 0 ilegibles. Ventana de captura 24 dias. Estatus: Authorized. Sucursal 676.</v>
      </c>
    </row>
    <row r="70">
      <c r="A70" t="str">
        <v>C-066</v>
      </c>
      <c r="B70">
        <v>1385</v>
      </c>
      <c r="C70" t="str">
        <v>D.F.</v>
      </c>
      <c r="D70">
        <v>676</v>
      </c>
      <c r="E70">
        <v>4</v>
      </c>
      <c r="F70" t="str">
        <v>Redes sociales</v>
      </c>
      <c r="G70" t="str">
        <v>2015-07-29</v>
      </c>
      <c r="H70" t="str">
        <v>Caso atorado</v>
      </c>
      <c r="I70" t="str">
        <v>Tiempo de ciclo</v>
      </c>
      <c r="J70" t="str">
        <v>Mis documentos salieron ilegibles en cada revisión y la captura tomó 99 días. Ahora que está aprobado, la tarjeta no llega.</v>
      </c>
      <c r="K70" t="str">
        <v>4 intentos. Errores: 0 captura, 0 incompletos, 3 ilegibles. Ventana de captura 99 dias. Estatus: Score Accepted. Sucursal 676.</v>
      </c>
    </row>
    <row r="71">
      <c r="A71" t="str">
        <v>C-067</v>
      </c>
      <c r="B71">
        <v>1083</v>
      </c>
      <c r="C71" t="str">
        <v>Jalisco</v>
      </c>
      <c r="D71">
        <v>728</v>
      </c>
      <c r="E71">
        <v>4</v>
      </c>
      <c r="F71" t="str">
        <v>Llamada a call center</v>
      </c>
      <c r="G71" t="str">
        <v>2015-05-22</v>
      </c>
      <c r="H71" t="str">
        <v>Caso atorado</v>
      </c>
      <c r="I71" t="str">
        <v>Tiempo de ciclo</v>
      </c>
      <c r="J71" t="str">
        <v>Me aprobaron 62,600 pesos de línea después de 62 días de captura. Desde entonces nadie sabe dónde está mi tarjeta.</v>
      </c>
      <c r="K71" t="str">
        <v>4 intentos. Errores: 2 captura, 1 incompletos, 0 ilegibles. Ventana de captura 62 dias. Estatus: Score Accepted. Sucursal 728.</v>
      </c>
    </row>
    <row r="72">
      <c r="A72" t="str">
        <v>C-068</v>
      </c>
      <c r="B72">
        <v>1491</v>
      </c>
      <c r="C72" t="str">
        <v>Edo Mex</v>
      </c>
      <c r="D72">
        <v>214</v>
      </c>
      <c r="E72">
        <v>1</v>
      </c>
      <c r="F72" t="str">
        <v>Encuesta post-venta</v>
      </c>
      <c r="G72" t="str">
        <v>2014-06-14</v>
      </c>
      <c r="H72" t="str">
        <v>Caso atorado</v>
      </c>
      <c r="I72" t="str">
        <v/>
      </c>
      <c r="J72" t="str">
        <v>La captura salió bien a la primera, eso sí. Pero ya me aprobaron y la tarjeta no aparece por ningún lado.</v>
      </c>
      <c r="K72" t="str">
        <v>1 intentos. Errores: 0 captura, 0 incompletos, 0 ilegibles. Ventana de captura 0 dias. Estatus: Score Accepted. Sucursal 214.</v>
      </c>
    </row>
    <row r="73">
      <c r="A73" t="str">
        <v>C-069</v>
      </c>
      <c r="B73">
        <v>306</v>
      </c>
      <c r="C73" t="str">
        <v>Jalisco</v>
      </c>
      <c r="D73">
        <v>126</v>
      </c>
      <c r="E73">
        <v>3</v>
      </c>
      <c r="F73" t="str">
        <v>Llamada a call center</v>
      </c>
      <c r="G73" t="str">
        <v>2015-12-21</v>
      </c>
      <c r="H73" t="str">
        <v>Tiempo de ciclo</v>
      </c>
      <c r="I73" t="str">
        <v>Reproceso documental</v>
      </c>
      <c r="J73" t="str">
        <v>Casi dos meses de trámite entre papeles faltantes y copias ilegibles. Si me hubieran dicho todo desde el inicio, no lo empiezo.</v>
      </c>
      <c r="K73" t="str">
        <v>3 intentos. Errores: 0 captura, 1 incompletos, 1 ilegibles. Ventana de captura 54 dias. Estatus: Bureau Rejected. Sucursal 126.</v>
      </c>
    </row>
    <row r="74">
      <c r="A74" t="str">
        <v>C-070</v>
      </c>
      <c r="B74">
        <v>597</v>
      </c>
      <c r="C74" t="str">
        <v>D.F.</v>
      </c>
      <c r="D74">
        <v>413</v>
      </c>
      <c r="E74">
        <v>3</v>
      </c>
      <c r="F74" t="str">
        <v>Llamada a call center</v>
      </c>
      <c r="G74" t="str">
        <v>2015-11-22</v>
      </c>
      <c r="H74" t="str">
        <v>Tiempo de ciclo</v>
      </c>
      <c r="I74" t="str">
        <v>Reproceso documental</v>
      </c>
      <c r="J74" t="str">
        <v>82 días solo de captura. En ese tiempo ya cambié de necesidad y la tarjeta ya no me sirve.</v>
      </c>
      <c r="K74" t="str">
        <v>3 intentos. Errores: 0 captura, 0 incompletos, 1 ilegibles. Ventana de captura 82 dias. Estatus: Card Sent. Sucursal 413.</v>
      </c>
    </row>
    <row r="75">
      <c r="A75" t="str">
        <v>C-071</v>
      </c>
      <c r="B75">
        <v>909</v>
      </c>
      <c r="C75" t="str">
        <v>Jalisco</v>
      </c>
      <c r="D75">
        <v>728</v>
      </c>
      <c r="E75">
        <v>4</v>
      </c>
      <c r="F75" t="str">
        <v>Llamada a call center</v>
      </c>
      <c r="G75" t="str">
        <v>2014-12-14</v>
      </c>
      <c r="H75" t="str">
        <v>Tiempo de ciclo</v>
      </c>
      <c r="I75" t="str">
        <v>Caso atorado</v>
      </c>
      <c r="J75" t="str">
        <v>El proceso se siente eterno. Nadie me da una fecha, solo me dicen que está en revisión.</v>
      </c>
      <c r="K75" t="str">
        <v>4 intentos. Errores: 2 captura, 1 incompletos, 0 ilegibles. Ventana de captura 85 dias. Estatus: Authorized. Sucursal 728.</v>
      </c>
    </row>
    <row r="76">
      <c r="A76" t="str">
        <v>C-072</v>
      </c>
      <c r="B76">
        <v>789</v>
      </c>
      <c r="C76" t="str">
        <v>Edo Mex</v>
      </c>
      <c r="D76">
        <v>110</v>
      </c>
      <c r="E76">
        <v>2</v>
      </c>
      <c r="F76" t="str">
        <v>Redes sociales</v>
      </c>
      <c r="G76" t="str">
        <v>2014-09-05</v>
      </c>
      <c r="H76" t="str">
        <v>Tiempo de ciclo</v>
      </c>
      <c r="I76" t="str">
        <v/>
      </c>
      <c r="J76" t="str">
        <v>Faltó un solo papel y la captura se alargó a 70 días. Es demasiado para una tarjeta de crédito.</v>
      </c>
      <c r="K76" t="str">
        <v>2 intentos. Errores: 0 captura, 1 incompletos, 0 ilegibles. Ventana de captura 70 dias. Estatus: Card Sent. Sucursal 110.</v>
      </c>
    </row>
    <row r="77">
      <c r="A77" t="str">
        <v>C-073</v>
      </c>
      <c r="B77">
        <v>341</v>
      </c>
      <c r="C77" t="str">
        <v>Edo Mex</v>
      </c>
      <c r="D77">
        <v>110</v>
      </c>
      <c r="E77">
        <v>2</v>
      </c>
      <c r="F77" t="str">
        <v>Llamada a call center</v>
      </c>
      <c r="G77" t="str">
        <v>2015-06-24</v>
      </c>
      <c r="H77" t="str">
        <v>Tiempo de ciclo</v>
      </c>
      <c r="I77" t="str">
        <v/>
      </c>
      <c r="J77" t="str">
        <v>Más de dos meses de trámite. Si me hubieran dicho desde el inicio, no lo empiezo.</v>
      </c>
      <c r="K77" t="str">
        <v>2 intentos. Errores: 1 captura, 0 incompletos, 0 ilegibles. Ventana de captura 70 dias. Estatus: Card Sent. Sucursal 110.</v>
      </c>
    </row>
    <row r="78">
      <c r="A78" t="str">
        <v>C-074</v>
      </c>
      <c r="B78">
        <v>917</v>
      </c>
      <c r="C78" t="str">
        <v>Edo Mex</v>
      </c>
      <c r="D78">
        <v>692</v>
      </c>
      <c r="E78">
        <v>4</v>
      </c>
      <c r="F78" t="str">
        <v>Llamada a call center</v>
      </c>
      <c r="G78" t="str">
        <v>2016-01-01</v>
      </c>
      <c r="H78" t="str">
        <v>Tiempo de ciclo</v>
      </c>
      <c r="I78" t="str">
        <v>Error de captura</v>
      </c>
      <c r="J78" t="str">
        <v>Entregué mi solicitud el 24 de octubre y la tarjeta llegó hasta fin de año. Fueron 65 días por una tarjeta de crédito.</v>
      </c>
      <c r="K78" t="str">
        <v>4 intentos. Errores: 2 captura, 1 incompletos, 0 ilegibles. Ventana de captura 54 dias. Estatus: Card Sent. Sucursal 692.</v>
      </c>
    </row>
    <row r="79">
      <c r="A79" t="str">
        <v>C-075</v>
      </c>
      <c r="B79">
        <v>135</v>
      </c>
      <c r="C79" t="str">
        <v>Veracruz</v>
      </c>
      <c r="D79">
        <v>416</v>
      </c>
      <c r="E79">
        <v>4</v>
      </c>
      <c r="F79" t="str">
        <v>Llamada a call center</v>
      </c>
      <c r="G79" t="str">
        <v>2014-10-21</v>
      </c>
      <c r="H79" t="str">
        <v>Tiempo de ciclo</v>
      </c>
      <c r="I79" t="str">
        <v>Caso atorado</v>
      </c>
      <c r="J79" t="str">
        <v>En otro banco me resolvieron en una semana. Aquí llevo 57 días.</v>
      </c>
      <c r="K79" t="str">
        <v>4 intentos. Errores: 2 captura, 1 incompletos, 0 ilegibles. Ventana de captura 57 dias. Estatus: Score Accepted. Sucursal 416.</v>
      </c>
    </row>
    <row r="80">
      <c r="A80" t="str">
        <v>C-076</v>
      </c>
      <c r="B80">
        <v>443</v>
      </c>
      <c r="C80" t="str">
        <v>Jalisco</v>
      </c>
      <c r="D80">
        <v>728</v>
      </c>
      <c r="E80">
        <v>4</v>
      </c>
      <c r="F80" t="str">
        <v>Queja escrita</v>
      </c>
      <c r="G80" t="str">
        <v>2014-11-23</v>
      </c>
      <c r="H80" t="str">
        <v>Tiempo de ciclo</v>
      </c>
      <c r="I80" t="str">
        <v>Reproceso documental</v>
      </c>
      <c r="J80" t="str">
        <v>71 días de captura con un error, un papel faltante y una copia ilegible. Cuatro intentos para nada.</v>
      </c>
      <c r="K80" t="str">
        <v>4 intentos. Errores: 1 captura, 1 incompletos, 1 ilegibles. Ventana de captura 71 dias. Estatus: Bureau Rejected. Sucursal 728.</v>
      </c>
    </row>
    <row r="81">
      <c r="A81" t="str">
        <v>C-077</v>
      </c>
      <c r="B81">
        <v>1089</v>
      </c>
      <c r="C81" t="str">
        <v>D.F.</v>
      </c>
      <c r="D81">
        <v>413</v>
      </c>
      <c r="E81">
        <v>2</v>
      </c>
      <c r="F81" t="str">
        <v>Redes sociales</v>
      </c>
      <c r="G81" t="str">
        <v>2014-11-28</v>
      </c>
      <c r="H81" t="str">
        <v>Tiempo de ciclo</v>
      </c>
      <c r="I81" t="str">
        <v/>
      </c>
      <c r="J81" t="str">
        <v>Entregué mi solicitud el 9 de septiembre. Solo la captura tomó 70 días por una copia que no se leía.</v>
      </c>
      <c r="K81" t="str">
        <v>2 intentos. Errores: 0 captura, 0 incompletos, 1 ilegibles. Ventana de captura 70 dias. Estatus: Bureau Rejected. Sucursal 413.</v>
      </c>
    </row>
    <row r="82">
      <c r="A82" t="str">
        <v>C-078</v>
      </c>
      <c r="B82">
        <v>733</v>
      </c>
      <c r="C82" t="str">
        <v>Jalisco</v>
      </c>
      <c r="D82">
        <v>126</v>
      </c>
      <c r="E82">
        <v>2</v>
      </c>
      <c r="F82" t="str">
        <v>Redes sociales</v>
      </c>
      <c r="G82" t="str">
        <v>2015-04-22</v>
      </c>
      <c r="H82" t="str">
        <v>Tiempo de ciclo</v>
      </c>
      <c r="I82" t="str">
        <v/>
      </c>
      <c r="J82" t="str">
        <v>Me tuvieron 70 días en captura por un papel que faltaba. Después de tanto, ni siquiera sé en qué quedó.</v>
      </c>
      <c r="K82" t="str">
        <v>2 intentos. Errores: 0 captura, 1 incompletos, 0 ilegibles. Ventana de captura 70 dias. Estatus: Bureau Rejected. Sucursal 126.</v>
      </c>
    </row>
    <row r="83">
      <c r="A83" t="str">
        <v>C-079</v>
      </c>
      <c r="B83">
        <v>974</v>
      </c>
      <c r="C83" t="str">
        <v>D.F.</v>
      </c>
      <c r="D83">
        <v>413</v>
      </c>
      <c r="E83">
        <v>3</v>
      </c>
      <c r="F83" t="str">
        <v>Redes sociales</v>
      </c>
      <c r="G83" t="str">
        <v>2015-06-30</v>
      </c>
      <c r="H83" t="str">
        <v>Rechazo</v>
      </c>
      <c r="I83" t="str">
        <v>Tiempo de ciclo</v>
      </c>
      <c r="J83" t="str">
        <v>Rechazado después de 3 intentos de entregar documentos. Nadie me explicó el criterio.</v>
      </c>
      <c r="K83" t="str">
        <v>3 intentos. Errores: 2 captura, 0 incompletos, 0 ilegibles. Ventana de captura 65 dias. Estatus: Bureau Rejected. Sucursal 413.</v>
      </c>
    </row>
    <row r="84">
      <c r="A84" t="str">
        <v>C-080</v>
      </c>
      <c r="B84">
        <v>1023</v>
      </c>
      <c r="C84" t="str">
        <v>Edo Mex</v>
      </c>
      <c r="D84">
        <v>692</v>
      </c>
      <c r="E84">
        <v>2</v>
      </c>
      <c r="F84" t="str">
        <v>Queja escrita</v>
      </c>
      <c r="G84" t="str">
        <v>2015-06-17</v>
      </c>
      <c r="H84" t="str">
        <v>Rechazo</v>
      </c>
      <c r="I84" t="str">
        <v/>
      </c>
      <c r="J84" t="str">
        <v>Tengo 16 años como cliente y me rechazaron por una calificación interna que nadie me explicó. Antes de eso hubo 2 intentos de captura.</v>
      </c>
      <c r="K84" t="str">
        <v>2 intentos. Errores: 1 captura, 0 incompletos, 0 ilegibles. Ventana de captura 4 dias. Estatus: Score Rejected. Sucursal 692.</v>
      </c>
    </row>
    <row r="85">
      <c r="A85" t="str">
        <v>C-081</v>
      </c>
      <c r="B85">
        <v>190</v>
      </c>
      <c r="C85" t="str">
        <v>D.F.</v>
      </c>
      <c r="D85">
        <v>275</v>
      </c>
      <c r="E85">
        <v>2</v>
      </c>
      <c r="F85" t="str">
        <v>Queja escrita</v>
      </c>
      <c r="G85" t="str">
        <v>2014-12-10</v>
      </c>
      <c r="H85" t="str">
        <v>Rechazo</v>
      </c>
      <c r="I85" t="str">
        <v/>
      </c>
      <c r="J85" t="str">
        <v>Me hicieron correr por documentos durante 14 días para al final decirme que no. Es una falta de respeto al tiempo del cliente.</v>
      </c>
      <c r="K85" t="str">
        <v>2 intentos. Errores: 1 captura, 0 incompletos, 0 ilegibles. Ventana de captura 14 dias. Estatus: Bureau Rejected. Sucursal 275.</v>
      </c>
    </row>
    <row r="86">
      <c r="A86" t="str">
        <v>C-082</v>
      </c>
      <c r="B86">
        <v>1392</v>
      </c>
      <c r="C86" t="str">
        <v>Edo Mex</v>
      </c>
      <c r="D86">
        <v>110</v>
      </c>
      <c r="E86">
        <v>2</v>
      </c>
      <c r="F86" t="str">
        <v>Queja escrita</v>
      </c>
      <c r="G86" t="str">
        <v>2015-10-09</v>
      </c>
      <c r="H86" t="str">
        <v>Rechazo</v>
      </c>
      <c r="I86" t="str">
        <v/>
      </c>
      <c r="J86" t="str">
        <v>Si el buró me iba a rechazar, pudieron consultarlo antes de hacerme volver. Fueron 2 intentos en la sucursal 110.</v>
      </c>
      <c r="K86" t="str">
        <v>2 intentos. Errores: 1 captura, 0 incompletos, 0 ilegibles. Ventana de captura 11 dias. Estatus: Bureau Rejected. Sucursal 110.</v>
      </c>
    </row>
    <row r="87">
      <c r="A87" t="str">
        <v>C-083</v>
      </c>
      <c r="B87">
        <v>1012</v>
      </c>
      <c r="C87" t="str">
        <v>D.F.</v>
      </c>
      <c r="D87">
        <v>275</v>
      </c>
      <c r="E87">
        <v>2</v>
      </c>
      <c r="F87" t="str">
        <v>Llamada a call center</v>
      </c>
      <c r="G87" t="str">
        <v>2014-09-10</v>
      </c>
      <c r="H87" t="str">
        <v>Rechazo</v>
      </c>
      <c r="I87" t="str">
        <v/>
      </c>
      <c r="J87" t="str">
        <v>Tengo 6 años con el banco, buen historial, y me rechazaron por un puntaje que nadie me quiso explicar.</v>
      </c>
      <c r="K87" t="str">
        <v>2 intentos. Errores: 0 captura, 1 incompletos, 0 ilegibles. Ventana de captura 11 dias. Estatus: Bureau Rejected. Sucursal 275.</v>
      </c>
    </row>
    <row r="88">
      <c r="A88" t="str">
        <v>C-084</v>
      </c>
      <c r="B88">
        <v>803</v>
      </c>
      <c r="C88" t="str">
        <v>D.F.</v>
      </c>
      <c r="D88">
        <v>631</v>
      </c>
      <c r="E88">
        <v>2</v>
      </c>
      <c r="F88" t="str">
        <v>Redes sociales</v>
      </c>
      <c r="G88" t="str">
        <v>2015-08-14</v>
      </c>
      <c r="H88" t="str">
        <v>Rechazo</v>
      </c>
      <c r="I88" t="str">
        <v/>
      </c>
      <c r="J88" t="str">
        <v>Si el buró era el problema, pudieron consultarlo antes de pedirme dos veces los mismos papeles.</v>
      </c>
      <c r="K88" t="str">
        <v>2 intentos. Errores: 0 captura, 1 incompletos, 0 ilegibles. Ventana de captura 7 dias. Estatus: Bureau Rejected. Sucursal 631.</v>
      </c>
    </row>
    <row r="89">
      <c r="A89" t="str">
        <v>C-085</v>
      </c>
      <c r="B89">
        <v>1120</v>
      </c>
      <c r="C89" t="str">
        <v>Jalisco</v>
      </c>
      <c r="D89">
        <v>728</v>
      </c>
      <c r="E89">
        <v>4</v>
      </c>
      <c r="F89" t="str">
        <v>Encuesta post-venta</v>
      </c>
      <c r="G89" t="str">
        <v>2015-07-12</v>
      </c>
      <c r="H89" t="str">
        <v>Rechazo</v>
      </c>
      <c r="I89" t="str">
        <v>Tiempo de ciclo</v>
      </c>
      <c r="J89" t="str">
        <v>Cuatro intentos y 49 días de captura para que al final me rechazaran. Nadie me dijo qué revisaron.</v>
      </c>
      <c r="K89" t="str">
        <v>4 intentos. Errores: 1 captura, 2 incompletos, 0 ilegibles. Ventana de captura 49 dias. Estatus: Bureau Rejected. Sucursal 728.</v>
      </c>
    </row>
    <row r="90">
      <c r="A90" t="str">
        <v>C-086</v>
      </c>
      <c r="B90">
        <v>196</v>
      </c>
      <c r="C90" t="str">
        <v>D.F.</v>
      </c>
      <c r="D90">
        <v>676</v>
      </c>
      <c r="E90">
        <v>4</v>
      </c>
      <c r="F90" t="str">
        <v>Llamada a call center</v>
      </c>
      <c r="G90" t="str">
        <v>2015-01-01</v>
      </c>
      <c r="H90" t="str">
        <v>Monto de linea</v>
      </c>
      <c r="I90" t="str">
        <v>Tiempo de ciclo</v>
      </c>
      <c r="J90" t="str">
        <v>La línea que me dieron no corresponde a mi historial. Pedí explicación y no me la dieron.</v>
      </c>
      <c r="K90" t="str">
        <v>4 intentos. Errores: 2 captura, 0 incompletos, 0 ilegibles. Ventana de captura 43 dias. Estatus: Authorized. Sucursal 676.</v>
      </c>
    </row>
    <row r="91">
      <c r="A91" t="str">
        <v>C-087</v>
      </c>
      <c r="B91">
        <v>277</v>
      </c>
      <c r="C91" t="str">
        <v>Chiapas</v>
      </c>
      <c r="D91">
        <v>352</v>
      </c>
      <c r="E91">
        <v>1</v>
      </c>
      <c r="F91" t="str">
        <v>Queja escrita</v>
      </c>
      <c r="G91" t="str">
        <v>2014-05-21</v>
      </c>
      <c r="H91" t="str">
        <v>Monto de linea</v>
      </c>
      <c r="I91" t="str">
        <v/>
      </c>
      <c r="J91" t="str">
        <v>La captura salió a la primera y la tarjeta llegó en 14 días, pero solo me autorizaron 28,000 pesos. No valió la pena el trámite.</v>
      </c>
      <c r="K91" t="str">
        <v>1 intentos. Errores: 0 captura, 0 incompletos, 0 ilegibles. Ventana de captura 0 dias. Estatus: Card Sent. Sucursal 352.</v>
      </c>
    </row>
    <row r="92">
      <c r="A92" t="str">
        <v>C-088</v>
      </c>
      <c r="B92">
        <v>257</v>
      </c>
      <c r="C92" t="str">
        <v>D.F.</v>
      </c>
      <c r="D92">
        <v>676</v>
      </c>
      <c r="E92">
        <v>3</v>
      </c>
      <c r="F92" t="str">
        <v>Llamada a call center</v>
      </c>
      <c r="G92" t="str">
        <v>2014-09-15</v>
      </c>
      <c r="H92" t="str">
        <v>Monto de linea</v>
      </c>
      <c r="I92" t="str">
        <v>Caso atorado</v>
      </c>
      <c r="J92" t="str">
        <v>Me aprobaron 31,400 pesos. Es la línea más baja que me han ofrecido y ni me dijeron cómo la calcularon.</v>
      </c>
      <c r="K92" t="str">
        <v>3 intentos. Errores: 1 captura, 0 incompletos, 1 ilegibles. Ventana de captura 29 dias. Estatus: Authorized. Sucursal 676.</v>
      </c>
    </row>
    <row r="93">
      <c r="A93" t="str">
        <v>C-089</v>
      </c>
      <c r="B93">
        <v>1443</v>
      </c>
      <c r="C93" t="str">
        <v>Edo Mex</v>
      </c>
      <c r="D93">
        <v>692</v>
      </c>
      <c r="E93">
        <v>2</v>
      </c>
      <c r="F93" t="str">
        <v>Encuesta post-venta</v>
      </c>
      <c r="G93" t="str">
        <v>2014-09-12</v>
      </c>
      <c r="H93" t="str">
        <v>Monto de linea</v>
      </c>
      <c r="I93" t="str">
        <v/>
      </c>
      <c r="J93" t="str">
        <v>2 rondas de documentos para que al final me autorizaran 31,700 pesos. Esperaba bastante más.</v>
      </c>
      <c r="K93" t="str">
        <v>2 intentos. Errores: 0 captura, 1 incompletos, 0 ilegibles. Ventana de captura 16 dias. Estatus: Card Sent. Sucursal 692.</v>
      </c>
    </row>
    <row r="94">
      <c r="A94" t="str">
        <v>C-090</v>
      </c>
      <c r="B94">
        <v>1350</v>
      </c>
      <c r="C94" t="str">
        <v>Sinaloa</v>
      </c>
      <c r="D94">
        <v>440</v>
      </c>
      <c r="E94">
        <v>2</v>
      </c>
      <c r="F94" t="str">
        <v>Encuesta post-venta</v>
      </c>
      <c r="G94" t="str">
        <v>2015-03-02</v>
      </c>
      <c r="H94" t="str">
        <v>Monto de linea</v>
      </c>
      <c r="I94" t="str">
        <v>Caso atorado</v>
      </c>
      <c r="J94" t="str">
        <v>Me autorizaron 21,000 pesos y todavía no tengo la tarjeta. Por esa cantidad no sé si valga la pena seguir esperando.</v>
      </c>
      <c r="K94" t="str">
        <v>2 intentos. Errores: 0 captura, 1 incompletos, 0 ilegibles. Ventana de captura 16 dias. Estatus: Authorized. Sucursal 440.</v>
      </c>
    </row>
  </sheetData>
  <pageMargins left="0.75" right="0.75" top="1" bottom="1" header="0.5" footer="0.5"/>
  <ignoredErrors>
    <ignoredError numberStoredAsText="1" sqref="A1:K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cols>
    <col min="1" max="1" customWidth="1" width="28"/>
    <col min="2" max="2" customWidth="1" width="13"/>
    <col min="3" max="3" customWidth="1" width="17"/>
    <col min="4" max="4" customWidth="1" width="15"/>
  </cols>
  <sheetData>
    <row r="1">
      <c r="A1" t="str">
        <v>Pareto de quejas por categoria primaria</v>
      </c>
    </row>
    <row r="2">
      <c r="A2" t="str">
        <v>Los conteos se calculan con COUNTIF sobre la hoja Comentarios. Si agregas filas alla, extiende los rangos.</v>
      </c>
    </row>
    <row r="4">
      <c r="A4" t="str">
        <v>Categoria</v>
      </c>
      <c r="B4" t="str">
        <v>Incidencias</v>
      </c>
      <c r="C4" t="str">
        <v>% de incidencias</v>
      </c>
      <c r="D4" t="str">
        <v>% acumulado</v>
      </c>
    </row>
    <row r="5">
      <c r="A5" t="str">
        <v>Reproceso documental</v>
      </c>
      <c r="B5">
        <f>COUNTIF(Comentarios!$H$5:$H$94,A5)</f>
        <v/>
      </c>
      <c r="C5" s="1">
        <f>IFERROR(B5/$B$11,0)</f>
        <v/>
      </c>
      <c r="D5" s="1">
        <f>C5</f>
        <v/>
      </c>
    </row>
    <row r="6">
      <c r="A6" t="str">
        <v>Error de captura</v>
      </c>
      <c r="B6">
        <f>COUNTIF(Comentarios!$H$5:$H$94,A6)</f>
        <v/>
      </c>
      <c r="C6" s="1">
        <f>IFERROR(B6/$B$11,0)</f>
        <v/>
      </c>
      <c r="D6" s="1">
        <f>D5+C6</f>
        <v/>
      </c>
    </row>
    <row r="7">
      <c r="A7" t="str">
        <v>Caso atorado</v>
      </c>
      <c r="B7">
        <f>COUNTIF(Comentarios!$H$5:$H$94,A7)</f>
        <v/>
      </c>
      <c r="C7" s="1">
        <f>IFERROR(B7/$B$11,0)</f>
        <v/>
      </c>
      <c r="D7" s="1">
        <f>D6+C7</f>
        <v/>
      </c>
    </row>
    <row r="8">
      <c r="A8" t="str">
        <v>Tiempo de ciclo</v>
      </c>
      <c r="B8">
        <f>COUNTIF(Comentarios!$H$5:$H$94,A8)</f>
        <v/>
      </c>
      <c r="C8" s="1">
        <f>IFERROR(B8/$B$11,0)</f>
        <v/>
      </c>
      <c r="D8" s="1">
        <f>D7+C8</f>
        <v/>
      </c>
    </row>
    <row r="9">
      <c r="A9" t="str">
        <v>Rechazo</v>
      </c>
      <c r="B9">
        <f>COUNTIF(Comentarios!$H$5:$H$94,A9)</f>
        <v/>
      </c>
      <c r="C9" s="1">
        <f>IFERROR(B9/$B$11,0)</f>
        <v/>
      </c>
      <c r="D9" s="1">
        <f>D8+C9</f>
        <v/>
      </c>
    </row>
    <row r="10">
      <c r="A10" t="str">
        <v>Monto de linea</v>
      </c>
      <c r="B10">
        <f>COUNTIF(Comentarios!$H$5:$H$94,A10)</f>
        <v/>
      </c>
      <c r="C10" s="1">
        <f>IFERROR(B10/$B$11,0)</f>
        <v/>
      </c>
      <c r="D10" s="1">
        <f>D9+C10</f>
        <v/>
      </c>
    </row>
    <row r="11">
      <c r="A11" t="str">
        <v>Total</v>
      </c>
      <c r="B11">
        <f>SUM(B5:B10)</f>
        <v/>
      </c>
    </row>
    <row r="13">
      <c r="A13" t="str">
        <v>Nota didactica: 'Error de captura' es un subtipo de reproceso. Si el equipo los agrupa, el reproceso documental explica cerca de 6 de cada 10 quejas. Decidir si se agrupan es parte del ejercicio.</v>
      </c>
    </row>
  </sheetData>
  <pageMargins left="0.75" right="0.75" top="1" bottom="1" header="0.5" footer="0.5"/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cols>
    <col min="1" max="1" customWidth="1" width="26"/>
    <col min="2" max="2" customWidth="1" width="105"/>
  </cols>
  <sheetData>
    <row r="1">
      <c r="A1" t="str">
        <v>Como usar y ampliar esta base</v>
      </c>
    </row>
    <row r="3">
      <c r="A3" t="str">
        <v>Vocabulario permitido</v>
      </c>
      <c r="B3" t="str">
        <v>La base R2 solo registra tres tipos de error: input error (error de captura), incomplete documents e illegible document. Cualquier comentario nuevo debe usar solo estos tres, o hablar de tiempo, rechazo, monto de linea o caso atorado.</v>
      </c>
    </row>
    <row r="4">
      <c r="A4" t="str">
        <v>Consistencia obligatoria</v>
      </c>
      <c r="B4" t="str">
        <v>Antes de agregar un comentario, verifica en MX CAMPUS que el numero de solicitud tenga los intentos, el estatus, la linea y las fechas que el comentario insinua. Un comentario que contradiga la base rompe el ejercicio.</v>
      </c>
    </row>
    <row r="5">
      <c r="A5" t="str">
        <v>Cuidado con el plastico</v>
      </c>
      <c r="B5" t="str">
        <v>Los casos de 4 o mas intentos rara vez tienen fecha de envio de plastico. Esos clientes siguen esperando; no digas que la tarjeta llego tarde.</v>
      </c>
    </row>
    <row r="6">
      <c r="A6" t="str">
        <v>Distractores</v>
      </c>
      <c r="B6" t="str">
        <v>Los comentarios de rechazo y de monto de linea sirven para que el equipo tenga que separar senal de ruido al cruzar quejas contra intentos y dias.</v>
      </c>
    </row>
    <row r="7">
      <c r="A7" t="str">
        <v>Quiebre de nivel</v>
      </c>
      <c r="B7" t="str">
        <v>A partir del mes 10 de la serie entro el modulo de captacion digital y la tasa de reproceso subio unos 12 puntos. El diagrama de corrida es la unica herramienta que lo revela; el Pareto agregado lo esconde.</v>
      </c>
    </row>
    <row r="8">
      <c r="A8" t="str">
        <v>Celdas editables</v>
      </c>
      <c r="B8" t="str">
        <v>Escribe solo en la hoja Comentarios, de la fila 5 a la 94 y siguientes. La hoja Resumen Pareto se calcula sola.</v>
      </c>
    </row>
    <row r="9">
      <c r="A9" t="str">
        <v>Ejemplo de formato</v>
      </c>
      <c r="B9" t="str">
        <v>C-091 | 412 | D.F. | 676 | 3 | Queja escrita | 2015-04-18 | Reproceso documental | Tiempo de ciclo | 'Tres visitas, tres listas distintas.' | 3 intentos. Errores: 1 captura, 2 incompletos. Ventana 41 dias.</v>
      </c>
    </row>
  </sheetData>
  <pageMargins left="0.75" right="0.75" top="1" bottom="1" header="0.5" footer="0.5"/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Comentarios</vt:lpstr>
      <vt:lpstr>Resumen Pareto</vt:lpstr>
      <vt:lpstr>Leyenda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2026-08-25T22:48:00Z</dcterms:created>
  <dcterms:modified xsi:type="dcterms:W3CDTF">2026-08-27T17:11:17Z</dcterms:modified>
  <dc:creator>openpyxl</dc:creator>
</cp:coreProperties>
</file>